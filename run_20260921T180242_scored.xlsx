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cored drafts" sheetId="2" state="visible" r:id="rId4"/>
  </sheets>
  <definedNames>
    <definedName function="false" hidden="true" localSheetId="1" name="_xlnm._FilterDatabase" vbProcedure="false">'Scored drafts'!$A$1:$N$158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<sst xmlns="http://schemas.openxmlformats.org/spreadsheetml/2006/main" count="1789" uniqueCount="701">
  <si>
    <t xml:space="preserve">Investigator scoring of extraction run 20260921T180242 (157 drafts, gpt-oss-120b, prompt v1)</t>
  </si>
  <si>
    <t xml:space="preserve">Legend: column K (investigator decision) and columns L-M are Claude's proposed decisions for a named reviewer to accept or overrule in the review workbook; columns A-I are the run's own output.</t>
  </si>
  <si>
    <t xml:space="preserve">decision</t>
  </si>
  <si>
    <t xml:space="preserve">count</t>
  </si>
  <si>
    <t xml:space="preserve">share</t>
  </si>
  <si>
    <t xml:space="preserve">meaning</t>
  </si>
  <si>
    <t xml:space="preserve">COMPILE_NOW</t>
  </si>
  <si>
    <t xml:space="preserve">Approve. Compiles to a detector with today's grammar.</t>
  </si>
  <si>
    <t xml:space="preserve">LEAD</t>
  </si>
  <si>
    <t xml:space="preserve">Approve as reviewed lead. True rule; becomes a detector after the named Phase-2 item (population conditions, code-range/category resolver, modifier/provider-type/POS compilers, amounts).</t>
  </si>
  <si>
    <t xml:space="preserve">FIX</t>
  </si>
  <si>
    <t xml:space="preserve">Statement or quote must be corrected before a decision - mostly the grounding attached the wrong sentence; a few statements add or drop a condition.</t>
  </si>
  <si>
    <t xml:space="preserve">KNOWLEDGE</t>
  </si>
  <si>
    <t xml:space="preserve">True policy, not checkable from a paid claim line. Keep in the KB (not_checkable); never a detector.</t>
  </si>
  <si>
    <t xml:space="preserve">DUP_OF_SEED</t>
  </si>
  <si>
    <t xml:space="preserve">Already in state_rules as a migrated seed. Reject the draft; canonical-key fix pending.</t>
  </si>
  <si>
    <t xml:space="preserve">REJECT</t>
  </si>
  <si>
    <t xml:space="preserve">Drop: exact duplicate, stale (ICD-9), regex noise, invented numbers, or quote unrelated to statement.</t>
  </si>
  <si>
    <t xml:space="preserve">total</t>
  </si>
  <si>
    <t xml:space="preserve">quote supports statement?</t>
  </si>
  <si>
    <t xml:space="preserve">yes</t>
  </si>
  <si>
    <t xml:space="preserve">PARTIAL</t>
  </si>
  <si>
    <t xml:space="preserve">NO</t>
  </si>
  <si>
    <t xml:space="preserve">found by</t>
  </si>
  <si>
    <t xml:space="preserve">model</t>
  </si>
  <si>
    <t xml:space="preserve">pattern+model</t>
  </si>
  <si>
    <t xml:space="preserve">pattern</t>
  </si>
  <si>
    <t xml:space="preserve">Findings that change the pipeline</t>
  </si>
  <si>
    <t xml:space="preserve">1. Grounding attaches the wrong sentence in ~20 drafts (all at confidence 0.9-1.0). When the model's quote is not found verbatim, the fuzzy matcher substitutes the best-overlapping sentence; the drift check is too weak. Fix: require the statement's numbers/codes to appear in the matched sentence, otherwise DROP - never substitute.</t>
  </si>
  <si>
    <t xml:space="preserve">2. Model confidence is uninformative: misgrounded and invented rows sit at 0.97-1.0. Do not sort the review by it.</t>
  </si>
  <si>
    <t xml:space="preserve">3. The regex layer adds only noise now (2 pattern-only drafts, both junk). Keep it as a cross-check flag, stop emitting pattern-only drafts.</t>
  </si>
  <si>
    <t xml:space="preserve">4. Same rule extracted twice (rows 36/37, 42/52) and 8 drafts duplicate migrated seeds - the key hashes the whole predicate dict. Canonicalise the key.</t>
  </si>
  <si>
    <t xml:space="preserve">5. 6 of 157 compile today. ~57 more compile after Phase 2: member conditions (age/program), code-range + category-&gt;code resolver ('per diem codes', 'E/M codes', 'DME'), and the modifier_required / provider_type / place_of_service compilers. That is the actual Phase-2 priority list, in that order.</t>
  </si>
  <si>
    <t xml:space="preserve">6. Three in-chapter conflicts the model surfaced (77 vs 112 VFC admin codes; 118 vs 137 foot care by effective date; 114 vs 120 diabetes education). Reviewer decides; effective_date support needed for 118/137.</t>
  </si>
  <si>
    <t xml:space="preserve">fidelity (one label per row, non-overlapping)</t>
  </si>
  <si>
    <t xml:space="preserve">faithful</t>
  </si>
  <si>
    <t xml:space="preserve">faithful - in-chapter conflict</t>
  </si>
  <si>
    <t xml:space="preserve">faithful - unit basis unclear</t>
  </si>
  <si>
    <t xml:space="preserve">wrong quote attached</t>
  </si>
  <si>
    <t xml:space="preserve">statement adds/drops a condition</t>
  </si>
  <si>
    <t xml:space="preserve">duplicate of seed</t>
  </si>
  <si>
    <t xml:space="preserve">duplicate draft</t>
  </si>
  <si>
    <t xml:space="preserve">regex noise</t>
  </si>
  <si>
    <t xml:space="preserve">stale (ICD-9)</t>
  </si>
  <si>
    <t xml:space="preserve">row</t>
  </si>
  <si>
    <t xml:space="preserve">rule_id</t>
  </si>
  <si>
    <t xml:space="preserve">chapter</t>
  </si>
  <si>
    <t xml:space="preserve">section</t>
  </si>
  <si>
    <t xml:space="preserve">statement (proposed_rule)</t>
  </si>
  <si>
    <t xml:space="preserve">verbatim_quote</t>
  </si>
  <si>
    <t xml:space="preserve">model confidence</t>
  </si>
  <si>
    <t xml:space="preserve">population</t>
  </si>
  <si>
    <t xml:space="preserve">fidelity (one label per row)</t>
  </si>
  <si>
    <t xml:space="preserve">investigator decision</t>
  </si>
  <si>
    <t xml:space="preserve">blocker / reason</t>
  </si>
  <si>
    <t xml:space="preserve">note</t>
  </si>
  <si>
    <t xml:space="preserve">EXT-de1dcb76d419bb54</t>
  </si>
  <si>
    <t xml:space="preserve">SUPPLIES, MATERIALS, INJECTABLE DRUGS</t>
  </si>
  <si>
    <t xml:space="preserve">AHCCCS does not reimburse providers on a fee-for-service basis for services billed using procedure code 99070.</t>
  </si>
  <si>
    <t xml:space="preserve">AHCCCS does not reimburse providers on a fee-for-service basis for services billed using procedure code 99070 (Supplies and materials, except spectacles, provided by the physician over and above those usually included with the office visit or other services rendered).</t>
  </si>
  <si>
    <t xml:space="preserve">all</t>
  </si>
  <si>
    <t xml:space="preserve">code_not_covered</t>
  </si>
  <si>
    <t xml:space="preserve">99070 paid on FFS = finding. Row 155 is the regex misreading 'except spectacles' inside the code description - reject that one.</t>
  </si>
  <si>
    <t xml:space="preserve">EXT-80b8a1033e6a92a7</t>
  </si>
  <si>
    <t xml:space="preserve">ANESTHESIA MEDICAL DIRECTION</t>
  </si>
  <si>
    <t xml:space="preserve">The anesthesia service with CPT code 00938 (Insertion of penile prosthesis) is not covered.</t>
  </si>
  <si>
    <t xml:space="preserve">The following anesthesia services are not covered:
• 00938 (Insertion of penile prosthesis)</t>
  </si>
  <si>
    <t xml:space="preserve">00938 anesthesia not covered.</t>
  </si>
  <si>
    <t xml:space="preserve">EXT-3bda3d647af1039a</t>
  </si>
  <si>
    <t xml:space="preserve">MULTI-SPECIALTY INTERDISCIPLINARY CLINIC</t>
  </si>
  <si>
    <t xml:space="preserve">T1015 (MSIC Service Coordination Payment) may be billed only once per day per MSIC.</t>
  </si>
  <si>
    <t xml:space="preserve">MSIC-eligible visits may be billed with a T1015 procedure code once per day, per MSIC.
Multiple visits on the same day by a single MSIC are eligible for only one T1015 code payment.</t>
  </si>
  <si>
    <t xml:space="preserve">max_units_per_dos</t>
  </si>
  <si>
    <t xml:space="preserve">T1015 once per day PER MSIC -&gt; scope member_provider_day (per_dos), not member_day.</t>
  </si>
  <si>
    <t xml:space="preserve">EXT-66855c812580f096</t>
  </si>
  <si>
    <t xml:space="preserve">FAMILY PLANNING SERVICES</t>
  </si>
  <si>
    <t xml:space="preserve">11975 is not a covered/reimbursable service.</t>
  </si>
  <si>
    <t xml:space="preserve">Do not bill for CPT codes: • 11975 - Insertion, implantable contraceptive capsules; and • 11977 - Removal with reinsertion, implantable contraceptive capsules.</t>
  </si>
  <si>
    <t xml:space="preserve">'Do not bill' 11975.</t>
  </si>
  <si>
    <t xml:space="preserve">EXT-67b7f6b914f4f3b9</t>
  </si>
  <si>
    <t xml:space="preserve">11977 is not a covered/reimbursable service.</t>
  </si>
  <si>
    <t xml:space="preserve">'Do not bill' 11977.</t>
  </si>
  <si>
    <t xml:space="preserve">EXT-05527bb75a006e15</t>
  </si>
  <si>
    <t xml:space="preserve">MEDICATION</t>
  </si>
  <si>
    <t xml:space="preserve">The billing unit for H0020 is one dose per day.</t>
  </si>
  <si>
    <t xml:space="preserve">The billing unit is one dose per day (includes cost associated with drug and administration).</t>
  </si>
  <si>
    <t xml:space="preserve">max_units_per_day</t>
  </si>
  <si>
    <t xml:space="preserve">H0020 = 1 dose/day per member.</t>
  </si>
  <si>
    <t xml:space="preserve">EXT-2fcd139f3b5ceeed</t>
  </si>
  <si>
    <t xml:space="preserve">REHABILITATIVE SERVICES DOCUMENTATION REQUIREMENTS</t>
  </si>
  <si>
    <t xml:space="preserve">Outpatient rehabilitation services are NOT covered for FES members.</t>
  </si>
  <si>
    <t xml:space="preserve">FES members</t>
  </si>
  <si>
    <t xml:space="preserve">population + code_resolution</t>
  </si>
  <si>
    <t xml:space="preserve">Outpatient rehab not covered for FES members.</t>
  </si>
  <si>
    <t xml:space="preserve">EXT-659523331607f688</t>
  </si>
  <si>
    <t xml:space="preserve">SURGEON BILLING</t>
  </si>
  <si>
    <t xml:space="preserve">Multiple surgical procedures performed on the same member on the same day must be billed using modifier 51.</t>
  </si>
  <si>
    <t xml:space="preserve">code_range + modifier</t>
  </si>
  <si>
    <t xml:space="preserve">2+ surgical codes same day same provider without modifier 51.</t>
  </si>
  <si>
    <t xml:space="preserve">EXT-63be4f68b288063c</t>
  </si>
  <si>
    <t xml:space="preserve">Each secondary surgical procedure is reimbursed at 50 percent of the capped fee or billed charges, whichever is less.</t>
  </si>
  <si>
    <t xml:space="preserve">pricing</t>
  </si>
  <si>
    <t xml:space="preserve">Secondary surgery paid at 50% - Phase 3 price audit.</t>
  </si>
  <si>
    <t xml:space="preserve">EXT-393137d66a09561e</t>
  </si>
  <si>
    <t xml:space="preserve">TELEHEALTH</t>
  </si>
  <si>
    <t xml:space="preserve">Tele presenter services are not billable.</t>
  </si>
  <si>
    <t xml:space="preserve">code_resolution</t>
  </si>
  <si>
    <t xml:space="preserve">Tele-presenter not billable - which code (T1014?) is not stated.</t>
  </si>
  <si>
    <t xml:space="preserve">EXT-470b9d6d80193812</t>
  </si>
  <si>
    <t xml:space="preserve">NATUROPATHIC PHYSICIANS</t>
  </si>
  <si>
    <t xml:space="preserve">Naturopathic physician services are not covered for AHCCCS members 21 years of age and older.</t>
  </si>
  <si>
    <t xml:space="preserve">NOTE: Naturopathic physician services are not covered for AHCCCS members 21 years of age and older.</t>
  </si>
  <si>
    <t xml:space="preserve">population + provider_type</t>
  </si>
  <si>
    <t xml:space="preserve">Naturopathic services not covered 21+.</t>
  </si>
  <si>
    <t xml:space="preserve">EXT-ecd82a178d8a55a5</t>
  </si>
  <si>
    <t xml:space="preserve">CORRECT CODING INITIATIVE</t>
  </si>
  <si>
    <t xml:space="preserve">Modifier 59 cannot be billed with evaluation and management codes (99201-99499) or radiation therapy codes (77261-77499).</t>
  </si>
  <si>
    <t xml:space="preserve">code_range + modifier predicate</t>
  </si>
  <si>
    <t xml:space="preserve">Modifier 59 on E/M 99201-99499 or radiation 77261-77499 = finding. Classic FWA edit; needs range support and a modifier_prohibited predicate. High value.</t>
  </si>
  <si>
    <t xml:space="preserve">EXT-965ce1970e5ceb72</t>
  </si>
  <si>
    <t xml:space="preserve">DISCHARGE MANAGEMENT</t>
  </si>
  <si>
    <t xml:space="preserve">Physicians and mid-level practitioners who bill Evaluation and Management (E/M) codes 99238 and 99239 for discharge management should not bill any other evaluation and management code for the same date.</t>
  </si>
  <si>
    <t xml:space="preserve">Physicians and mid-level practitioners who bill Evaluation and Management (E/M) codes 99238 and 99239 for discharge management should not bill any other evaluation and management code for the same date when submitting claims to AHCCCS.</t>
  </si>
  <si>
    <t xml:space="preserve">code_range</t>
  </si>
  <si>
    <t xml:space="preserve">99238/99239 with any other E/M same date same provider. Needs E/M range. High value.</t>
  </si>
  <si>
    <t xml:space="preserve">EXT-f1836860e4f9aba5</t>
  </si>
  <si>
    <t xml:space="preserve">7. 638FQHC (PTC5)</t>
  </si>
  <si>
    <t xml:space="preserve">For members enrolled in ALTCS/Tribal ALTCS or empaneled with an American Indian Medical Home (AIMH), health system navigation and resource coordination services by a CHW/CHR are not billable/reimbursable.</t>
  </si>
  <si>
    <t xml:space="preserve">Members enrolled in ALTCS/Tribal ALTCS or empaneled with an American Indian Medical Home (AIMH), already receive case management services that are reimbursed through an alternate mechanism; therefore, health system navigation and resource coordination services by a CHW/CHR are not billable/reimbursable.</t>
  </si>
  <si>
    <t xml:space="preserve">ALTCS/Tribal ALTCS or AIMH members</t>
  </si>
  <si>
    <t xml:space="preserve">CHW/CHR navigation not billable for ALTCS/AIMH members.</t>
  </si>
  <si>
    <t xml:space="preserve">EXT-3bf854430ea3a36c</t>
  </si>
  <si>
    <t xml:space="preserve">VISION</t>
  </si>
  <si>
    <t xml:space="preserve">Vision exams provided in a PCP’s office during an EPSDT visit are not a separately billable service.</t>
  </si>
  <si>
    <t xml:space="preserve">Vision exam same day as EPSDT visit by PCP.</t>
  </si>
  <si>
    <t xml:space="preserve">EXT-0e749940265c4c43</t>
  </si>
  <si>
    <t xml:space="preserve">Routine eye examinations for prescriptive lenses and the provision of prescriptive lenses are not covered for adults.</t>
  </si>
  <si>
    <t xml:space="preserve">members 21 years of age or older</t>
  </si>
  <si>
    <t xml:space="preserve">Routine eye exam / lenses not covered 21+ (92015, V2xxx).</t>
  </si>
  <si>
    <t xml:space="preserve">EXT-4b22132e881d4117</t>
  </si>
  <si>
    <t xml:space="preserve">EPSDT PROGRAM SERVICES</t>
  </si>
  <si>
    <t xml:space="preserve">Providers must bill for preventative EPSDT services using the preventative service, office or other outpatient services and preventative medicine CPT codes (99381 – 99385, 99391 – 99395) with an EP modifier.</t>
  </si>
  <si>
    <t xml:space="preserve">population + modifier_required</t>
  </si>
  <si>
    <t xml:space="preserve">EPSDT visit codes for &lt;21 without EP modifier.</t>
  </si>
  <si>
    <t xml:space="preserve">EXT-167ab96f470fd6ce</t>
  </si>
  <si>
    <t xml:space="preserve">For members empaneled with an AIMH that is reimbursed for diabetes education services, CHW/CHR services related to diabetes education are not billable/reimbursable.</t>
  </si>
  <si>
    <t xml:space="preserve">AIMH members reimbursed for diabetes education</t>
  </si>
  <si>
    <t xml:space="preserve">EXT-4ef718784173afe6</t>
  </si>
  <si>
    <t xml:space="preserve">Providers must use an EP modifier to designate all services related to the EPSDT well child check-up, including routine vision and hearing screenings.</t>
  </si>
  <si>
    <t xml:space="preserve">EXT-e0c2a36b93c917b5</t>
  </si>
  <si>
    <t xml:space="preserve">EMG</t>
  </si>
  <si>
    <t xml:space="preserve">No payment will be made for the vaccine provided through the VFC program.</t>
  </si>
  <si>
    <t xml:space="preserve">members 18 years or younger</t>
  </si>
  <si>
    <t xml:space="preserve">amount</t>
  </si>
  <si>
    <t xml:space="preserve">VFC vaccine (SL) should pay $0 for &lt;19 - PMT_AMT &gt; 0 on vaccine code with SL is a finding. Phase 3 (amounts).</t>
  </si>
  <si>
    <t xml:space="preserve">EXT-a1ea71b0b7bdb789</t>
  </si>
  <si>
    <t xml:space="preserve">OCCUPATIONAL, PHYSICAL AND SPEECH THERAPIES</t>
  </si>
  <si>
    <t xml:space="preserve">Physical therapy (PT) benefit limits for adult members (age 21 and older) are 15 visits per contract year to restore a particular skill or function and 15 visits per contract year to attain or acquire a particular skill or function.</t>
  </si>
  <si>
    <t xml:space="preserve">Effective service date 1/1/2014 and later, service limits for medically necessary outpatient physical therapy for adults (age 21 years and older)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t>
  </si>
  <si>
    <t xml:space="preserve">all adult members 21 years of age and older</t>
  </si>
  <si>
    <t xml:space="preserve">PT/OT 15+15 visits per contract year for 21+. Needs age condition, therapy code set, and visit counting (rows 135/136). High value.</t>
  </si>
  <si>
    <t xml:space="preserve">EXT-266ebd74cbe9df9a</t>
  </si>
  <si>
    <t xml:space="preserve">Occupational therapy (OT) benefit limits for acute care members are 15 visits per contract year to restore a particular skill or function and 15 visits per contract year to attain or acquire a particular skill or function.</t>
  </si>
  <si>
    <t xml:space="preserve">Benefit limits for acute care members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t>
  </si>
  <si>
    <t xml:space="preserve">acute care members 21 years of age and older</t>
  </si>
  <si>
    <t xml:space="preserve">EXT-21745b4b61eb4227</t>
  </si>
  <si>
    <t xml:space="preserve">Two separate claims must be filed for medically directed anesthesia procedures—one for the anesthesiologist and one for the CRNA.</t>
  </si>
  <si>
    <t xml:space="preserve">Two separate claims must be filed for medically directed anesthesia procedures- one for the anesthesiologist and one for the CRNA.</t>
  </si>
  <si>
    <t xml:space="preserve">claim_structure</t>
  </si>
  <si>
    <t xml:space="preserve">Medically directed anesthesia = two claims (QK/QX). Checkable via modifier pairing.</t>
  </si>
  <si>
    <t xml:space="preserve">EXT-5edffe7334edc357</t>
  </si>
  <si>
    <t xml:space="preserve">Services occurring on the same day with either the same or different providers will count as a single visit for outpatient OT.</t>
  </si>
  <si>
    <t xml:space="preserve">• Services occurring on the same day with either the same or different providers will count as a single visit.
• Multiple services provided on the same day will be counted as a single visit.</t>
  </si>
  <si>
    <t xml:space="preserve">all members receiving outpatient OT</t>
  </si>
  <si>
    <t xml:space="preserve">merge_into_124_126</t>
  </si>
  <si>
    <t xml:space="preserve">Visit-counting rule (same day = one visit). Not a detector alone; it is the aggregation rule for 124/126.</t>
  </si>
  <si>
    <t xml:space="preserve">EXT-b5ab487e1cde3acf</t>
  </si>
  <si>
    <t xml:space="preserve">Services occurring on the same day with either the same or different providers will count as a single visit for outpatient PT.</t>
  </si>
  <si>
    <t xml:space="preserve">all members receiving outpatient PT</t>
  </si>
  <si>
    <t xml:space="preserve">EXT-fc35e49745d4ce34</t>
  </si>
  <si>
    <t xml:space="preserve">BILLING REQUIREMENTS</t>
  </si>
  <si>
    <t xml:space="preserve">Only oral surgeons registered as Provider Type 07 (Dentists) may use CPT Evaluation and Management (E/M) codes on the CMS 1500 claim form to bill AHCCCS for office visits.</t>
  </si>
  <si>
    <t xml:space="preserve">provider_specialty</t>
  </si>
  <si>
    <t xml:space="preserve">E/M on CMS-1500 only by oral surgeons - dentists and oral surgeons share PT 07; needs specialty.</t>
  </si>
  <si>
    <t xml:space="preserve">EXT-c5715d06a2c5b869</t>
  </si>
  <si>
    <t xml:space="preserve">VENTILATOR MANAGEMENT</t>
  </si>
  <si>
    <t xml:space="preserve">Providers should not bill AHCCCS for any E/M service when submitting claims for global ventilator management services.</t>
  </si>
  <si>
    <t xml:space="preserve">Providers should not bill AHCCS for any E/M service when submitting claims for global ventilator management services.</t>
  </si>
  <si>
    <t xml:space="preserve">code_resolution + code_range</t>
  </si>
  <si>
    <t xml:space="preserve">Global ventilator management (94002-94005?) with E/M same claim.</t>
  </si>
  <si>
    <t xml:space="preserve">EXT-621a7e783498eaeb</t>
  </si>
  <si>
    <t xml:space="preserve">PRIOR AUTHORIZATION (PA) REQUIREMENTS</t>
  </si>
  <si>
    <t xml:space="preserve">Prior authorization from DFSM is required for all medical equipment and appliances, and prosthetic devices when the purchase price exceeds $300.00 for acute members.</t>
  </si>
  <si>
    <t xml:space="preserve">All medical equipment and appliances, and prosthetic devices when the purchase price exceeds $300.00 for acute members</t>
  </si>
  <si>
    <t xml:space="preserve">acute members</t>
  </si>
  <si>
    <t xml:space="preserve">dollar_threshold + PA + code_resolution</t>
  </si>
  <si>
    <t xml:space="preserve">DME/prosthetics &gt; $300 (acute) / orthotics &gt; $300 (21+) need PA. PA three-outcome model over line amount; needs DME code category.</t>
  </si>
  <si>
    <t xml:space="preserve">EXT-0583b7a0d0f1db70</t>
  </si>
  <si>
    <t xml:space="preserve">Prior authorization from DFSM is required for all orthotics when the purchase price exceeds $300.00 for members aged 21 years and older.</t>
  </si>
  <si>
    <t xml:space="preserve">All orthotics when the purchase price exceeds $300.00 for members aged 21 years and older.</t>
  </si>
  <si>
    <t xml:space="preserve">members aged 21 years and older</t>
  </si>
  <si>
    <t xml:space="preserve">EXT-a69c4e66fa13570c</t>
  </si>
  <si>
    <t xml:space="preserve">Procedure codes E0618 and E0619 must be billed with the RR modifier.</t>
  </si>
  <si>
    <t xml:space="preserve">Providers who bill for apnea management, training, and the use of the apnea monitor must use procedure codes E0618 (apnea monitor, without recording feature) or E0619 (apnea monitor, with recording feature) and the RR modifier.</t>
  </si>
  <si>
    <t xml:space="preserve">modifier_required_compiler</t>
  </si>
  <si>
    <t xml:space="preserve">E0618/E0619 without RR = finding. Compiler is a Phase-2 item; otherwise ready.</t>
  </si>
  <si>
    <t xml:space="preserve">EXT-cf24baff5c9a2576</t>
  </si>
  <si>
    <t xml:space="preserve">Apnea management and training services may not be billed using procedure code 94799.</t>
  </si>
  <si>
    <t xml:space="preserve">Apnea management and training services may not be billed using procedure code 94799 (Unlisted pulmonary service or procedure).</t>
  </si>
  <si>
    <t xml:space="preserve">weak_signal</t>
  </si>
  <si>
    <t xml:space="preserve">94799 billed by apnea-monitor providers.</t>
  </si>
  <si>
    <t xml:space="preserve">EXT-dcc81465dfec2bbe</t>
  </si>
  <si>
    <t xml:space="preserve">NON-EMERGENCY MEDICAL TRANSPORTATION SERVICES (NEMT)</t>
  </si>
  <si>
    <t xml:space="preserve">NEMT is not covered for Federal Emergency Services Program members.</t>
  </si>
  <si>
    <t xml:space="preserve">NEMT not covered for FES members.</t>
  </si>
  <si>
    <t xml:space="preserve">EXT-e4458f47581cb07e</t>
  </si>
  <si>
    <t xml:space="preserve">AIR AMBULANCE SERVICES</t>
  </si>
  <si>
    <t xml:space="preserve">Code A0888 may only be billed for AHCCCS members who also are covered by Medicare.</t>
  </si>
  <si>
    <t xml:space="preserve">member_attribute</t>
  </si>
  <si>
    <t xml:space="preserve">A0888 only for members also covered by Medicare - needs a dual-eligibility field.</t>
  </si>
  <si>
    <t xml:space="preserve">EXT-459814895fe35829</t>
  </si>
  <si>
    <t xml:space="preserve">SPECIALTY CARE TRANSPORTS</t>
  </si>
  <si>
    <t xml:space="preserve">Specialty care transport providers must bill the "TH" modifier with one of the following codes: A0430, A0431, A0435, A0436 and A0888.</t>
  </si>
  <si>
    <t xml:space="preserve">Specialty care transport providers must bill the "TH" modifier with one of the following:
A0430, A0431, A0435, A0436 and A0888.</t>
  </si>
  <si>
    <t xml:space="preserve">modifier_required + provider identification</t>
  </si>
  <si>
    <t xml:space="preserve">TH on A0430/A0431/A0435/A0436/A0888 for specialty care transport providers - need to identify SCT providers.</t>
  </si>
  <si>
    <t xml:space="preserve">EXT-8cd9169e2317c581</t>
  </si>
  <si>
    <t xml:space="preserve">MULTIPLE AMBULANCE TRANSPORTS</t>
  </si>
  <si>
    <t xml:space="preserve">Oxygen supplies with code A0422 may be charged for only one ground ambulance trip unless the additional transport is a separately identifiable service.</t>
  </si>
  <si>
    <t xml:space="preserve">oxygen supplies (for either BLS or ALS in a life sustaining situation with code A0422) may be charged for only one ground ambulance trip, unless the additional transport is a separately identifiable service.</t>
  </si>
  <si>
    <t xml:space="preserve">exception_clause</t>
  </si>
  <si>
    <t xml:space="preserve">A0422 once per trip 'unless separately identifiable' - compile as per-day cap with severity=review.</t>
  </si>
  <si>
    <t xml:space="preserve">EXT-3d2affbf118c0be5</t>
  </si>
  <si>
    <t xml:space="preserve">EMERGENCY TRIAGE, TREAT AND TRANSPORT (ET3)</t>
  </si>
  <si>
    <t xml:space="preserve">When billing for transport to an alternative destination, providers shall use HCPCS code A0426 or A0428 and include the CG modifier to indicate ET3 services.</t>
  </si>
  <si>
    <t xml:space="preserve">When billing for transport to an alternative destination, providers shall bill on a CMS 1500 Claim Form, using the most clinically appropriate HCPCS code (A0426 or A0428) and a CG Modifier to indicate ET3 services.</t>
  </si>
  <si>
    <t xml:space="preserve">modifier_required</t>
  </si>
  <si>
    <t xml:space="preserve">ET3 / Treat-and-Refer coding: A0998 without CG or UA-UD is anomalous. Modifier compiler.</t>
  </si>
  <si>
    <t xml:space="preserve">EXT-a388f1e7c187f0f0</t>
  </si>
  <si>
    <t xml:space="preserve">When billing for treatment in place, providers shall use HCPCS code A0998 and include the CG modifier.</t>
  </si>
  <si>
    <t xml:space="preserve">When billing for treatment in place, providers shall bill on a CMS 1500 Claim Form, using HCPCS code A0998 and the CG modifier.</t>
  </si>
  <si>
    <t xml:space="preserve">EXT-ccd25046a41a1f8d</t>
  </si>
  <si>
    <t xml:space="preserve">To bill for ET3 services, a provider must be registered with AHCCCS as Provider Type 06.</t>
  </si>
  <si>
    <t xml:space="preserve">To bill for ET3 services a provider must: 1) Be registered with AHCCCS as Provider Type 06;</t>
  </si>
  <si>
    <t xml:space="preserve">provider_type_compiler</t>
  </si>
  <si>
    <t xml:space="preserve">ET3 codes (A0426/A0428/A0998 + CG) only by provider type 06.</t>
  </si>
  <si>
    <t xml:space="preserve">EXT-a8ca088ef6b09388</t>
  </si>
  <si>
    <t xml:space="preserve">TREAT AND REFER BILLING GUIDANCE</t>
  </si>
  <si>
    <t xml:space="preserve">To bill for Treat and Refer services, utilize HCPCS code A0998 with the appropriate modifier (UA, UB, UC, or UD).</t>
  </si>
  <si>
    <t xml:space="preserve">To bill for Treat and Refer services, utilize HCPCS code A0998 (Ambulance response and treatment, no transport) with the appropriate modifier as listed below.
· UA -- Treat at home, refer to PCP/Specialist · UB – Treat at home, refer to Crisis Response · UC – Treat at home, refer to Behavioral Health Provider · UD – Treat at home, refer to Urgent Care</t>
  </si>
  <si>
    <t xml:space="preserve">EXT-3e3ccf35c3d65d63</t>
  </si>
  <si>
    <t xml:space="preserve">When multiple ground or air ambulance transports occur on the same day, only one base rate may be charged unless the additional transport is a separately identifiable service.</t>
  </si>
  <si>
    <t xml:space="preserve">code_resolution + exception_clause</t>
  </si>
  <si>
    <t xml:space="preserve">One base rate per day across transports - needs base-rate code list; exception -&gt; severity=review.</t>
  </si>
  <si>
    <t xml:space="preserve">EXT-4f902c3035f14015</t>
  </si>
  <si>
    <t xml:space="preserve">A provider may not bill for two transports when an alternative destination partner is closed, unable to provide needed care, or unable to arrange return transportation.</t>
  </si>
  <si>
    <t xml:space="preserve">If an emergency transportation provider transports a member to an Alternative Destination Partner and determines at the time that the Alternative Destination Partner is either a) closed, or b) unable to provide the needed level of care, or c) unable to arrange for transportation of the member for their return home, then the emergency transportation provider shall transport the member to the nearest emergency department. In these cases, the provider may not bill for two transports.</t>
  </si>
  <si>
    <t xml:space="preserve">Two transports same day same provider when ADP closed.</t>
  </si>
  <si>
    <t xml:space="preserve">EXT-732e462fce207a9a</t>
  </si>
  <si>
    <t xml:space="preserve">BILLING FOR NEMT</t>
  </si>
  <si>
    <t xml:space="preserve">Providers may bill without obtaining Prior Authorization if the total mileage for one member, on one date of service, is under 100 miles.</t>
  </si>
  <si>
    <t xml:space="preserve">PA + units</t>
  </si>
  <si>
    <t xml:space="preserve">NEMT &gt;= 100 miles/day without PA - PA model over mileage units.</t>
  </si>
  <si>
    <t xml:space="preserve">EXT-8431a82f77666b49</t>
  </si>
  <si>
    <t xml:space="preserve">PUBLIC TRANSPORTATION</t>
  </si>
  <si>
    <t xml:space="preserve">Provider types that are eligible to claim reimbursement for public transportation passes include 02, 05, 13, 14, 25, 27, 29, 41, 77, 81, 85, 86, 87, A3, A4, A6, B7, BC, C2, and C5.</t>
  </si>
  <si>
    <t xml:space="preserve">A0110 (transport pass) only by the listed provider types.</t>
  </si>
  <si>
    <t xml:space="preserve">EXT-f5195c7e63c692a2</t>
  </si>
  <si>
    <t xml:space="preserve">All services occurring on the same date of service for a member’s transport must be billed on a single claim.</t>
  </si>
  <si>
    <t xml:space="preserve">A claim submitted with only the base code and a second claim submitted with only the mileage will be denied, as split‑billing transport services are not permitted.</t>
  </si>
  <si>
    <t xml:space="preserve">Base code claim without mileage line (split billing) - needs claim-level grouping.</t>
  </si>
  <si>
    <t xml:space="preserve">EXT-f5ca51d3947afde6</t>
  </si>
  <si>
    <t xml:space="preserve">Providers shall bill using Code A0110 for the net cost of the transportation pass, not to exceed the cost of a 30‑day pass.</t>
  </si>
  <si>
    <t xml:space="preserve">A0110 not to exceed a 30-day pass cost - amount check needs fare data.</t>
  </si>
  <si>
    <t xml:space="preserve">EXT-53196aeadb2469de</t>
  </si>
  <si>
    <t xml:space="preserve">TELEHEALTH SERVICES</t>
  </si>
  <si>
    <t xml:space="preserve">When providing services via telemedicine (i.e. via interactive audio and video telecommunications), the GT modifier should be used.</t>
  </si>
  <si>
    <t xml:space="preserve">POS 02/10 without GT/95 - the telehealth indicator IS the modifier, so this is weak.</t>
  </si>
  <si>
    <t xml:space="preserve">EXT-8e8339eaea3a7133</t>
  </si>
  <si>
    <t xml:space="preserve">BED HOLDS AND THERAPEUTIC LEAVE</t>
  </si>
  <si>
    <t xml:space="preserve">For members under 21 years of age, total therapeutic leave and/or bed hold days may not exceed twenty‑one days per contract year.</t>
  </si>
  <si>
    <t xml:space="preserve">For members under 21 years of age, total therapeutic leave and/or bed hold days may not exceed 21 days per contract year.</t>
  </si>
  <si>
    <t xml:space="preserve">members under 21 years of age</t>
  </si>
  <si>
    <t xml:space="preserve">Bed hold / therapeutic leave per contract year by age band. Needs age condition and the bed-hold codes (revenue/HCPCS). High value.</t>
  </si>
  <si>
    <t xml:space="preserve">EXT-b44ea6fe7858c565</t>
  </si>
  <si>
    <t xml:space="preserve">For members aged 21 and older, therapeutic leave may not exceed nine days per contract year.</t>
  </si>
  <si>
    <t xml:space="preserve">For members aged 21 and older, therapeutic leave may not exceed nine days, and bed hold days may not exceed 12 days, per contract year,</t>
  </si>
  <si>
    <t xml:space="preserve">members aged 21 and older</t>
  </si>
  <si>
    <t xml:space="preserve">EXT-01c2e47c9c25532f</t>
  </si>
  <si>
    <t xml:space="preserve">For members aged 21 and older, bed hold days may not exceed twelve days per contract year.</t>
  </si>
  <si>
    <t xml:space="preserve">EXT-e20f1591aaa42cd7</t>
  </si>
  <si>
    <t xml:space="preserve">PARTIAL HOSPITALIZATION PROGRAMS (PHP)</t>
  </si>
  <si>
    <t xml:space="preserve">Partial Hospitalization services must be billed with code H0035 only by the following approved provider types: B2 Residential Treatment Center Non‑Secure (1‑16 Beds), B5 Subacute Facility (1‑16 Beds), 02 Hospital, and 71 Psychiatric Hospital.</t>
  </si>
  <si>
    <t xml:space="preserve">Partial Hospitalization services must be billed with code H0035, mental health partial hospitalization, treatment less than 24 hours, only by the following approved provider types and with an approved place of service:
The approved provider types are as follows:
• B2 Residential Treatment Center Non-Secure (1-16 Beds), • B5 Subacute Facility (1-16 Beds), • 02 Hospital, and • 71 Psychiatric Hospital.</t>
  </si>
  <si>
    <t xml:space="preserve">H0035 only by B2/B5/02/71. provider_type_allowed is in the grammar; compiler not written yet.</t>
  </si>
  <si>
    <t xml:space="preserve">EXT-f7ae974806cd7f78</t>
  </si>
  <si>
    <t xml:space="preserve">REHABILITATION</t>
  </si>
  <si>
    <t xml:space="preserve">H2017 may be denied when billed on the same day any per diem codes are billed.</t>
  </si>
  <si>
    <t xml:space="preserve">H2014 (skills training and development) and H2017 (psychosocial rehabilitation services) may be denied when billed on the same day any per diem codes are billed.</t>
  </si>
  <si>
    <t xml:space="preserve">H2014/H2017 same day as ANY per diem code. Needs the per diem code list (category -&gt; code resolver).</t>
  </si>
  <si>
    <t xml:space="preserve">EXT-8c51c1fc31cf469f</t>
  </si>
  <si>
    <t xml:space="preserve">H2014 may be denied when billed on the same day any per diem codes are billed.</t>
  </si>
  <si>
    <t xml:space="preserve">EXT-350fa2e78c5bb074</t>
  </si>
  <si>
    <t xml:space="preserve">MEDICAL MANAGEMENT</t>
  </si>
  <si>
    <t xml:space="preserve">Nursing services provided in licensed BHIF, RTC, BHRF, or medical day program settings are included in the rate and cannot be billed separately.</t>
  </si>
  <si>
    <t xml:space="preserve">'Included in the rate, cannot be billed separately' - detector = service code same day/same member as a per-diem/inpatient code. Needs the per-diem list per setting.</t>
  </si>
  <si>
    <t xml:space="preserve">EXT-ecbca507d0cfcd57</t>
  </si>
  <si>
    <t xml:space="preserve">SERVICES)</t>
  </si>
  <si>
    <t xml:space="preserve">Self-help/peer services (H0038) provided in an ADHS DLS licensed inpatient, residential or day program setting are included in the rate for those settings and cannot be billed separately.</t>
  </si>
  <si>
    <t xml:space="preserve">Self-help/peer services provided in an ADHS DLS licensed inpatient, residential or day program setting are included in the rate for those settings and cannot be billed separately and cannot be billed on the same day as a per diem code.</t>
  </si>
  <si>
    <t xml:space="preserve">H0038 in licensed inpatient/residential/day settings - identify setting by same-day per diem code.</t>
  </si>
  <si>
    <t xml:space="preserve">EXT-4d10d11bbd91609e</t>
  </si>
  <si>
    <t xml:space="preserve">PERSONAL CARE SERVICES</t>
  </si>
  <si>
    <t xml:space="preserve">Personal care services provided by a licensed inpatient, Supervised Behavioral Health Treatment and Day Program, or in Therapeutic Foster Care (TFC) are included in the rate for these settings and cannot be billed separately.</t>
  </si>
  <si>
    <t xml:space="preserve">EXT-20d5418a03427278</t>
  </si>
  <si>
    <t xml:space="preserve">T1002 and T1003 provided on the same day as a higher level of service are considered included within the higher level of service and cannot be billed separately.</t>
  </si>
  <si>
    <t xml:space="preserve">T1002 and T1003 provided on the same day as a higher level of service (e.g. services by a physician, nurse practitioner or physician assistant) are considered included within the higher level of service.</t>
  </si>
  <si>
    <t xml:space="preserve">T1002/T1003 same day as 'higher level of service' (E/M by MD/NP/PA).</t>
  </si>
  <si>
    <t xml:space="preserve">EXT-f56fdf28f036bbc0</t>
  </si>
  <si>
    <t xml:space="preserve">LABORATORY, RADIOLOGY AND MEDICAL IMAGING</t>
  </si>
  <si>
    <t xml:space="preserve">Laboratory, radiology, and medical imaging services provided in an inpatient hospital setting are included in the rate and cannot be billed separately.</t>
  </si>
  <si>
    <t xml:space="preserve">EXT-d25eb6da29098434</t>
  </si>
  <si>
    <t xml:space="preserve">Medications provided in an inpatient general acute care or psychiatric hospital setting are included in the rate and cannot be billed separately.</t>
  </si>
  <si>
    <t xml:space="preserve">EXT-80fde6becab3c76a</t>
  </si>
  <si>
    <t xml:space="preserve">Partial Hospitalization services must be billed with code H0035 only at the following approved places of service: 06 Indian Health Service – Provider Based Facility, 08 Tribal 638 – Provider Based Facility, 19 Off Campus‑Outpatient Hospital, 22 On Campus‑Outpatient Hospital, 52 Psychiatric Facility‑Partial Hospitalization, and 62 Comprehensive Outpatient Rehabilitation Facility.</t>
  </si>
  <si>
    <t xml:space="preserve">The approved places of service are as follows:
• 06 Indian Health Service - Provider Based Facility, • 08 Tribal 638 – Provider Based Facility, • 19 Off Campus-Outpatient Hospital, • 22 On Campus-Outpatient Hospital, • 52 Psychiatric Facility-Partial Hospitalization, and • 62 Comprehensive Outpatient Rehabilitation Facility</t>
  </si>
  <si>
    <t xml:space="preserve">pos_predicate</t>
  </si>
  <si>
    <t xml:space="preserve">H0035 only at POS 06/08/19/22/52/62. Grammar has no place_of_service predicate yet; trivial to add.</t>
  </si>
  <si>
    <t xml:space="preserve">EXT-06f6e098db3ba61f</t>
  </si>
  <si>
    <t xml:space="preserve">HOME CARE TRAINING FAMILY (FAMILY SUPPORT)</t>
  </si>
  <si>
    <t xml:space="preserve">Code S5110 Home care training, family; per 15 minutes cannot be billed separately when the provider is a licensed BHIF, Residential Treatment Center (RTC), BHRF, day program, or Therapeutic Foster Care (TFC).</t>
  </si>
  <si>
    <t xml:space="preserve">Family support services provided by a licensed BHIF, Residential Treatment Center (RTC), BHRF, day program or Therapeutic Foster Care (TFC) are included in the rate for these settings and cannot be billed separately.</t>
  </si>
  <si>
    <t xml:space="preserve">EXT-494cedfb4c0f7377</t>
  </si>
  <si>
    <t xml:space="preserve">GENERAL INFORMATION</t>
  </si>
  <si>
    <t xml:space="preserve">AHCCCS covers medically necessary nursing facility services for Fee‑For‑Service acute care members for a period not to exceed 90 days per contract year (October 1 through September 30).</t>
  </si>
  <si>
    <t xml:space="preserve">AHCCCS covers medically necessary nursing facility services for Fee-For-Service acute care members, who have not been determined eligible for ALTCS services, for a period not to exceed 90 days per contract year (October 1 through September 30) when the following requirements are met:</t>
  </si>
  <si>
    <t xml:space="preserve">NF 90 days per contract year for FFS acute (non-ALTCS). Needs member program and NF per-diem codes. High value.</t>
  </si>
  <si>
    <t xml:space="preserve">EXT-91bb498a78bfb654</t>
  </si>
  <si>
    <t xml:space="preserve">LIMITATIONS</t>
  </si>
  <si>
    <t xml:space="preserve">Services rendered in institutions for the treatment of tuberculosis for individuals ages 21–64 are not covered.</t>
  </si>
  <si>
    <t xml:space="preserve">Services rendered in institutions for the treatment of tuberculosis for individuals ages 21– 64 are not covered.</t>
  </si>
  <si>
    <t xml:space="preserve">individuals ages 21–64</t>
  </si>
  <si>
    <t xml:space="preserve">TB institution 21-64 not covered. Low volume.</t>
  </si>
  <si>
    <t xml:space="preserve">EXT-74ad49c6c8759a9b</t>
  </si>
  <si>
    <t xml:space="preserve">Items included in the per diem rate may not be billed separately.</t>
  </si>
  <si>
    <t xml:space="preserve">EXT-e1067f9111f2153b</t>
  </si>
  <si>
    <t xml:space="preserve">Claim Submission Time Frames</t>
  </si>
  <si>
    <t xml:space="preserve">An initial claim for services provided to an AHCCCS member must be received by AHCCCS no later than 6 months after the date of service, unless the claim involves retro‑eligibility.</t>
  </si>
  <si>
    <t xml:space="preserve">If a claim is originally received within the 6-month time frame, the provider has up to 12 months from the date of service to correctly resubmit the claim in order to achieve clean claim status or to adjust a previously processed claim, unless the claim involves retro-eligibility.</t>
  </si>
  <si>
    <t xml:space="preserve">misgrounded</t>
  </si>
  <si>
    <t xml:space="preserve">Statement = 6-month initial claim rule; quote = the 12-month resubmission sentence. Re-ground to the 6-month sentence. Then KNOWLEDGE (timeliness is a pre-payment edit).</t>
  </si>
  <si>
    <t xml:space="preserve">EXT-87f20ae5acbcc273</t>
  </si>
  <si>
    <t xml:space="preserve">Replacements and Voids</t>
  </si>
  <si>
    <t xml:space="preserve">A replacement claim must be submitted within the 12‑month clean claim time frame.</t>
  </si>
  <si>
    <t xml:space="preserve">How to Void a UB-04 Claim To void a paid UB-04 claim, if the claim is deemed completely erroneous, the submitter can initiate a void of the entire claim. The bill type code ending in “8” indicates a void of the claim, this is used when the provider will not rebill or take any further action.
• Use bill type XX8 • Enter the CRN of the claim to be voided in the “Remarks” field (Field 80).
• If Field 80 is used for other purposes, type the CRN at the top of the claim form.</t>
  </si>
  <si>
    <t xml:space="preserve">Quote is the UB-04 void instructions, not the 12-month replacement rule. Then KNOWLEDGE.</t>
  </si>
  <si>
    <t xml:space="preserve">EXT-874b3816d4a015c5</t>
  </si>
  <si>
    <t xml:space="preserve">Mothers and Newborns</t>
  </si>
  <si>
    <t xml:space="preserve">Services for a newborn must be billed separately using the newborn's AHCCCS identification number; services for the newborn that are included on the mother's claim will be denied.</t>
  </si>
  <si>
    <t xml:space="preserve">If a member’s eligibility changes, then each eligible period should be billed separately to avoid processing delays.</t>
  </si>
  <si>
    <t xml:space="preserve">Quote is about eligibility periods, not newborn billing. Then LEAD (newborn services on mother's ID - checkable if member DOB present).</t>
  </si>
  <si>
    <t xml:space="preserve">EXT-3e5aeb498b12540a</t>
  </si>
  <si>
    <t xml:space="preserve">NURSING FACILITY SETTING</t>
  </si>
  <si>
    <t xml:space="preserve">All low-level E&amp;M nursing facility CPT codes 99304 and 99307 must be used with the “GE” modifier to designate the claim as a teaching physician billing exception claim.</t>
  </si>
  <si>
    <t xml:space="preserve">All codes should be used with the “GE” modifier to designate the claim as a teaching physician billing exception claim.</t>
  </si>
  <si>
    <t xml:space="preserve">inference</t>
  </si>
  <si>
    <t xml:space="preserve">'99304 and 99307' were added from section context; quote says 'All codes'. Confirm the codes from the section. Then KNOWLEDGE (GE is circular).</t>
  </si>
  <si>
    <t xml:space="preserve">EXT-ac665f69b350fada</t>
  </si>
  <si>
    <t xml:space="preserve">FOOT AND ANKLE CARE LIMITATIONS</t>
  </si>
  <si>
    <t xml:space="preserve">Coverage for medically necessary routine foot care must not exceed two visits per quarter or eight visits per contract year (this does not apply to EPSDT members).</t>
  </si>
  <si>
    <t xml:space="preserve">Neither general diagnosis such as arteriosclerotic heart disease, circulatory problems, vascular disease, venous insufficiency or incapacitation injuries or illnesses such as rheumatoid arthritis, CVA (stroke) or fractured hip are diagnosis under which routine foot care is covered.</t>
  </si>
  <si>
    <t xml:space="preserve">Statement (2 visits/quarter, 8/contract year, not EPSDT) is right; quote is the diagnosis sentence. Re-ground. Then LEAD (code resolution: routine foot care codes; population).</t>
  </si>
  <si>
    <t xml:space="preserve">EXT-30e98f0107fb2aab</t>
  </si>
  <si>
    <t xml:space="preserve">RESIDENTS, INTERNS, STUDENTS, TEACHING PHYSICIANS AND DENTISTS</t>
  </si>
  <si>
    <t xml:space="preserve">Preventative Medicine CPT codes are reimbursable only for members under 21 years of age.</t>
  </si>
  <si>
    <t xml:space="preserve">Additionally, AHCCCS allows for the reimbursement of Preventative Medicine CPT codes for members under 21 years of age.</t>
  </si>
  <si>
    <t xml:space="preserve">members under 21</t>
  </si>
  <si>
    <t xml:space="preserve">Quote says preventive codes are reimbursable for &lt;21; statement adds 'ONLY'. If the section truly excludes adults this is a high-value age rule (9938x/9939x for 21+). Confirm, then LEAD (population).</t>
  </si>
  <si>
    <t xml:space="preserve">EXT-5b6c04e93127cb79</t>
  </si>
  <si>
    <t xml:space="preserve">Providers must not use the immunization administration CPT codes 90471, 90472, 90473, and 90474 when billing under the VFC program.</t>
  </si>
  <si>
    <t xml:space="preserve">conflict</t>
  </si>
  <si>
    <t xml:space="preserve">Says do NOT use 90471-90474 under VFC; row 112 says VFC uses 90460/90461/90471-90474 with SL. Reviewer reads the section (likely age-split). Hold both.</t>
  </si>
  <si>
    <t xml:space="preserve">EXT-827ed8cf0078c136</t>
  </si>
  <si>
    <t xml:space="preserve">Reimbursement for T1015 is only applicable to members under age 21 who are enrolled in an Arizona Long Term Care System (ALTCS) health plan.</t>
  </si>
  <si>
    <t xml:space="preserve">Effective March 1, 2023, in addition to members with a CRS designation, AHCCCS requires reimbursement of T1015 to an MSIC for members under age 21 and who are enrolled with an Arizona Long Term Care System (ALTCS) health plan.</t>
  </si>
  <si>
    <t xml:space="preserve">members under age 21 enrolled in ALTCS</t>
  </si>
  <si>
    <t xml:space="preserve">Quote: 'in addition to members with a CRS designation'. Statement dropped CRS -&gt; over-restrictive. Then LEAD (population).</t>
  </si>
  <si>
    <t xml:space="preserve">EXT-09e72d59d9328082</t>
  </si>
  <si>
    <t xml:space="preserve">The teaching physician whose name payment is sought may not supervise more than four residents at any given time.</t>
  </si>
  <si>
    <t xml:space="preserve">Residents furnishing service without the presence of a teaching physician must have completed more than twelve months (postgraduate) of an approved residency program.</t>
  </si>
  <si>
    <t xml:space="preserve">Statement = 4-resident cap; quote = 12-month residency sentence. Then KNOWLEDGE.</t>
  </si>
  <si>
    <t xml:space="preserve">EXT-2862f08bd983d33a</t>
  </si>
  <si>
    <t xml:space="preserve">ANESTHESIA SERVICES</t>
  </si>
  <si>
    <t xml:space="preserve">Providers may bill for a maximum of 180 minutes (three hours) for ASA code 01967 (Neuraxial labor analgesia/anesthesia for planned vaginal delivery).</t>
  </si>
  <si>
    <t xml:space="preserve">Providers may bill for a maximum of 180 minutes (three hours).</t>
  </si>
  <si>
    <t xml:space="preserve">unit_basis</t>
  </si>
  <si>
    <t xml:space="preserve">01967 max 180 minutes. Whether claim units are minutes or 15-min units decides threshold 180 vs 12 (row 142). Then LEAD (max_units_per_day).</t>
  </si>
  <si>
    <t xml:space="preserve">EXT-d677a302eb4f6976</t>
  </si>
  <si>
    <t xml:space="preserve">Beginning with dates of service 1/1/2013, AHCCCS will require all providers to submit two CPT codes for VFC program services, both billed with modifier SL: one code will identify the vaccine administrative service (codes 90460, 90461, 90471, 90472, 90473, 90474) and the second code will identify the actual vaccine administered.</t>
  </si>
  <si>
    <t xml:space="preserve">Beginning with dates of service 1/1/2013, AHCCCS will require all providers to submit two CPT codes for VFC program services, both billed with modifier SL: • One code will identify the vaccine administrative service as described by codes 90460, 90461, 90471, 90472, 90473 and 90474 and billed with SL modifier. • The second code, with the SL modifier, will identify the actual vaccine administered.</t>
  </si>
  <si>
    <t xml:space="preserve">See row 77. Also a two-line 'pair required' rule (vaccine + admin, both SL) - grammar cannot express it yet.</t>
  </si>
  <si>
    <t xml:space="preserve">EXT-6d9da85feb8da868</t>
  </si>
  <si>
    <t xml:space="preserve">NUTRITIONIST SERVICES</t>
  </si>
  <si>
    <t xml:space="preserve">Diabetic Education services are NOT an AHCCCS covered service.</t>
  </si>
  <si>
    <t xml:space="preserve">REMINDER: Diabetic Education services are NOT an AHCCCS covered service.</t>
  </si>
  <si>
    <t xml:space="preserve">'Diabetic education NOT covered' vs row 114 (AIMH reimbursed for diabetes education). Scope by provider/program. Then LEAD (G0108/G0109?).</t>
  </si>
  <si>
    <t xml:space="preserve">EXT-d4bf5c726c543eca</t>
  </si>
  <si>
    <t xml:space="preserve">FOOT AND ANKLE CARE</t>
  </si>
  <si>
    <t xml:space="preserve">Foot and ankle services are not covered for adults (age 21 and older) when provided by a podiatrist or podiatric surgeon.</t>
  </si>
  <si>
    <t xml:space="preserve">adults age 21 and older</t>
  </si>
  <si>
    <t xml:space="preserve">Contradicts row 118 (covered 21+ by podiatrist eff. 10/1/2016). Almost certainly the pre-2016 sentence; needs effective_date. Model flagged it itself.</t>
  </si>
  <si>
    <t xml:space="preserve">EXT-273fa3f5b44c2796</t>
  </si>
  <si>
    <t xml:space="preserve">Every 15 minutes or any portion thereof is equal to one unit of time for anesthesia services.</t>
  </si>
  <si>
    <t xml:space="preserve">Providers should not include the Basic Unit Value listed in the ASA Manual as part of the units billed.</t>
  </si>
  <si>
    <t xml:space="preserve">Statement = 15 min = 1 unit; quote = 'do not include Basic Unit Value'. Re-ground. Then KNOWLEDGE, but it decides the unit basis for row 109.</t>
  </si>
  <si>
    <t xml:space="preserve">EXT-e7e73ae513bc1d4b</t>
  </si>
  <si>
    <t xml:space="preserve">Prior authorization from DFSM is required for all medical equipment and appliance rentals.</t>
  </si>
  <si>
    <t xml:space="preserve">All consumable medical supplies (supplies that have limited potential for re-use) that are billed in excess of $100.00;</t>
  </si>
  <si>
    <t xml:space="preserve">Statement = PA for all rentals; quote = consumables &gt; $100. Both may be in the section; each needs its own quote. Then LEAD (PA model).</t>
  </si>
  <si>
    <t xml:space="preserve">EXT-7c5d83d717461ef1</t>
  </si>
  <si>
    <t xml:space="preserve">Medical equipment and appliance revenue codes are not reimbursable to hospitals on the UB-04 claim form.</t>
  </si>
  <si>
    <t xml:space="preserve">Procedures related to medical equipment and appliances cannot be interpreted without modifiers that describe the type of service and payment arrangement made. Without an appropriate modifier the claim will be denied.</t>
  </si>
  <si>
    <t xml:space="preserve">Quote is about modifiers; statement is about revenue codes on UB-04. Then LEAD (hospital + DME revenue code).</t>
  </si>
  <si>
    <t xml:space="preserve">EXT-00f1f3d68087b05a</t>
  </si>
  <si>
    <t xml:space="preserve">OVERVIEW</t>
  </si>
  <si>
    <t xml:space="preserve">AHCCCS covers incontinence briefs for members over age 3 and under age 21.</t>
  </si>
  <si>
    <t xml:space="preserve">AHCCS covers incontinence briefs for acute members 21 years of age and older, when they are necessary to treat a medical condition, as described in AMPM 310-P, Medical Equipment, Medical Appliances and Medical Supplies.</t>
  </si>
  <si>
    <t xml:space="preserve">Statement = briefs covered ages 3-21; quote = covered for acute 21+. Section has both; each needs its own quote. Then LEAD (age).</t>
  </si>
  <si>
    <t xml:space="preserve">EXT-b6a208eac344dafd</t>
  </si>
  <si>
    <t xml:space="preserve">For all AHCCS members, no separate payment is made for medical equipment and appliances supplied as part of a hospital inpatient admission or outpatient treatment.</t>
  </si>
  <si>
    <t xml:space="preserve">Medical equipment and appliance suppliers may submit separate claims for medical equipment and appliances provided to an AHCCS member while inpatient in a hospital facility if that medical equipment and/or appliance was provided to facilitate discharge of the member from the hospital and was neither necessary for nor used as part of the treatment the member received while an inpatient.</t>
  </si>
  <si>
    <t xml:space="preserve">Quote is the EXCEPTION (suppliers may bill discharge equipment), not the rule. Then LEAD (DME during inpatient stay).</t>
  </si>
  <si>
    <t xml:space="preserve">EXT-f278455be092aad3</t>
  </si>
  <si>
    <t xml:space="preserve">BILLING FOR AIR AND GROUND AMBULANCE SERVICE</t>
  </si>
  <si>
    <t xml:space="preserve">Claims for ground and air ambulance service must be billed on the CMS 1500 claim form.</t>
  </si>
  <si>
    <t xml:space="preserve">Emergency air and ground ambulance claims are subject to Medical Review. Claims must be submitted with documentation of medical necessity and a copy of the trip report evidence:
1.
Medical condition, signs and symptoms, procedures, and treatment;
2.
Transportation origin, destination, and mileage (statute miles);
3.
Supplies; and 4.
Necessity of attendant, if applicable.
Claims submitted without such documentation are subject to denial.</t>
  </si>
  <si>
    <t xml:space="preserve">Quote is the medical-review documentation list, not 'bill on CMS 1500'. Then KNOWLEDGE (form type).</t>
  </si>
  <si>
    <t xml:space="preserve">EXT-270370355ad1459b</t>
  </si>
  <si>
    <t xml:space="preserve">DOCUMENTATION REQUIREMENTS</t>
  </si>
  <si>
    <t xml:space="preserve">Any non‑emergency transportation claim submitted without the AHCCCS Daily Trip Report found in Exhibit 14‑1 will be denied.</t>
  </si>
  <si>
    <t xml:space="preserve">NOTE: If the AHCCCS Daily Trip Report is submitted as a PDF file through the 275 Provider Portal, it is necessary that the PDF file allow AHCCCS to extract the document, otherwise AHCCCS will not be able to view the submitted PDF file.</t>
  </si>
  <si>
    <t xml:space="preserve">Quote is about PDF extraction in the 275 portal, not the denial rule. Then KNOWLEDGE (pre-payment edit).</t>
  </si>
  <si>
    <t xml:space="preserve">EXT-8c84a6d5b5f90066</t>
  </si>
  <si>
    <t xml:space="preserve">Transportation passes may be up to 1 month in duration.</t>
  </si>
  <si>
    <t xml:space="preserve">Replacement or duplicate transportation passes are not eligible for Medicaid reimbursement;</t>
  </si>
  <si>
    <t xml:space="preserve">Quote = replacement passes not eligible; statement = 1-month max. Two different rules; split them. Then LEAD (A0110 amount).</t>
  </si>
  <si>
    <t xml:space="preserve">EXT-666d6ba3ccae3fae</t>
  </si>
  <si>
    <t xml:space="preserve">Self-help/peer services (H0038) cannot be billed on the same day as a per diem code (H2016).</t>
  </si>
  <si>
    <t xml:space="preserve">'(H2016)' is the model's guess at 'a per diem code'. Remove; the rule is H0038 vs ANY per diem code. Then LEAD (code resolution).</t>
  </si>
  <si>
    <t xml:space="preserve">EXT-3d4e6497bd044501</t>
  </si>
  <si>
    <t xml:space="preserve">AFTER THE FIRST 24 HOURS OF CRISIS SERVICES</t>
  </si>
  <si>
    <t xml:space="preserve">A single provider cannot bill both codes in the first 24 hours of a crisis episode, for the same member.</t>
  </si>
  <si>
    <t xml:space="preserve">incomplete</t>
  </si>
  <si>
    <t xml:space="preserve">'both codes' - the codes were lost from the statement. Take them from the section. Then LEAD (pair, first 24h of crisis).</t>
  </si>
  <si>
    <t xml:space="preserve">EXT-07827d7e753fc1d8</t>
  </si>
  <si>
    <t xml:space="preserve">(BHTS) OR BEHAVIORAL HEALTH PARAPROFESSIONALS (BHPPS)</t>
  </si>
  <si>
    <t xml:space="preserve">For services provided by a BHT or BHPP supervised by a BHP, the rendering provider on a CMS‑1500 claim must be the facility’s NPI.</t>
  </si>
  <si>
    <t xml:space="preserve">Effective for dates of service 7/1/2023 and after, when the 77, IC, CF, and 05 is reported as the rendering/servicing provider, the participating provider must be listed on the claim. All participating providers reported must be affiliated with a licensed BH agency/facility, clinic, alternative residential facility or outpatient hospital.</t>
  </si>
  <si>
    <t xml:space="preserve">Statement (facility NPI as rendering) is not what the quote says (participating provider must be listed). Then KNOWLEDGE.</t>
  </si>
  <si>
    <t xml:space="preserve">EXT-3b1ef7dc0d0bcd45</t>
  </si>
  <si>
    <t xml:space="preserve">Services or items requiring authorization for which authorization has not been obtained are not covered.</t>
  </si>
  <si>
    <t xml:space="preserve">Services provided to individuals in a facility who require a level of care (as determined by the PAS and reassessment process) below the level of care they are receiving are not covered.</t>
  </si>
  <si>
    <t xml:space="preserve">Quote is the level-of-care sentence, not the no-authorization sentence. Then LEAD (PA model).</t>
  </si>
  <si>
    <t xml:space="preserve">EXT-81d8e9c815ed1acc</t>
  </si>
  <si>
    <t xml:space="preserve">Recoupment</t>
  </si>
  <si>
    <t xml:space="preserve">For recoupments, the time span allowed for resubmission of a clean claim will be the greatest of: twelve months from the date of service, twelve months from the date of eligibility posting for a retro‑eligibility claim, or sixty days from the date of the adverse action.</t>
  </si>
  <si>
    <t xml:space="preserve">In the case of recoupments, the time span allowed for resubmission of a clean claim will be the greatest of:
14 | 21 • Twelve months from the date of service, or • Twelve months from the date of eligibility posting for a retro-eligibility claim, or • Sixty days from the date of the adverse action.</t>
  </si>
  <si>
    <t xml:space="preserve">not_claim_checkable</t>
  </si>
  <si>
    <t xml:space="preserve">Pricing pro-rating, unit definitions, timeliness, enrollment, balance billing, payer order, unknown-dx codes (row 151 is an anomaly FEATURE idea: R68.89/F99 overuse), destinations.</t>
  </si>
  <si>
    <t xml:space="preserve">EXT-4aa84b4309cd4a30</t>
  </si>
  <si>
    <t xml:space="preserve">Claim Submission and Provider Registration</t>
  </si>
  <si>
    <t xml:space="preserve">After January 1st, 2016, if a provider is not enrolled with AHCCCS as a valid and/or active provider, claims will be denied.</t>
  </si>
  <si>
    <t xml:space="preserve">EXT-34efe15a7691f87c</t>
  </si>
  <si>
    <t xml:space="preserve">Billing AHCCCS Members</t>
  </si>
  <si>
    <t xml:space="preserve">Providers may not charge, submit a claim to, or collect payment from a member who has been determined eligible unless specifically authorized.</t>
  </si>
  <si>
    <t xml:space="preserve">Charge, submit a claim to, and/or demand or otherwise collect payment from a member or person who has been determined eligible, unless specifically authorized by this article or rules adopted pursuant to this article.</t>
  </si>
  <si>
    <t xml:space="preserve">EXT-889474154d7b783f</t>
  </si>
  <si>
    <t xml:space="preserve">For QMB Only members, AHCCCS shall only reimburse the provider for the Medicare deductible and coinsurance amount when Medicare pays first.</t>
  </si>
  <si>
    <t xml:space="preserve">Under A.A.C. R9-29-301 AHCCCS shall only reimburse the provider for the Medicare deductible and coinsurance amount when Medicare pays first.</t>
  </si>
  <si>
    <t xml:space="preserve">QMB Only members</t>
  </si>
  <si>
    <t xml:space="preserve">EXT-ba8719ef7f7ab007</t>
  </si>
  <si>
    <t xml:space="preserve">Modifier 80 must be added to the procedure for assistant surgeon services performed by a physician.</t>
  </si>
  <si>
    <t xml:space="preserve">Modifier 80 - Assistant surgeon services shall be identified by adding modifier 80 to the procedure. This modifier pertains to physician’s services only.</t>
  </si>
  <si>
    <t xml:space="preserve">definitional</t>
  </si>
  <si>
    <t xml:space="preserve">Assistant-surgeon modifier definitions.</t>
  </si>
  <si>
    <t xml:space="preserve">EXT-a897f586320cb1c9</t>
  </si>
  <si>
    <t xml:space="preserve">Modifier 81 must be added to the procedure for minimum assistant surgeon services performed by a physician.</t>
  </si>
  <si>
    <t xml:space="preserve">Modifier 81 - Minimum assistant surgeon services shall be identified by adding modifier 81 to the procedure, and it is only submitted with surgical codes.</t>
  </si>
  <si>
    <t xml:space="preserve">EXT-d5c8ec075ac0b262</t>
  </si>
  <si>
    <t xml:space="preserve">Modifier 82 must be added to the procedure for assistant surgeon services when a qualified resident surgeon is not available.</t>
  </si>
  <si>
    <t xml:space="preserve">Modifier 82 - Assistant surgeon services, when a qualified resident surgeon is not available, shall be identified by adding modifier 82 to the procedure.</t>
  </si>
  <si>
    <t xml:space="preserve">EXT-af7ee4a999077518</t>
  </si>
  <si>
    <t xml:space="preserve">Modifier AS must be added to the procedure for assistant at surgery services provided by a Physician Assistant, Nurse Practitioner, or Clinical Nurse Specialist.</t>
  </si>
  <si>
    <t xml:space="preserve">Modifier AS - Use the modifier “AS” for assistant at surgery services, when services are provided by a Physician Assistant (PA), Nurse Practitioner (NP), or Clinical Nurse Specialist (CNS).</t>
  </si>
  <si>
    <t xml:space="preserve">EXT-7570dcb80520c094</t>
  </si>
  <si>
    <t xml:space="preserve">All codes under the primary‑care E/M teaching‑physician exception must be billed with the GE modifier.</t>
  </si>
  <si>
    <t xml:space="preserve">All codes under the exception for E/M services should be used with the “GE” modifier to designate the claim as a teaching physician billing exception claim.</t>
  </si>
  <si>
    <t xml:space="preserve">circular</t>
  </si>
  <si>
    <t xml:space="preserve">GE modifier marks the exception; nothing on the claim proves the exception applied.</t>
  </si>
  <si>
    <t xml:space="preserve">EXT-8f12aa16dce176c3</t>
  </si>
  <si>
    <t xml:space="preserve">When billing for a podiatrist’s services, CMS 1500 field 17 must have Qualifier DK and the ordering provider’s name, and field 17b must have the ordering provider’s NPI; claims will be denied if these fields are blank or the ordering provider is not an AHCCCS registered provider.</t>
  </si>
  <si>
    <t xml:space="preserve">When billing for a podiatrist’s services, CMS 1500 field 17 must have Qualifier DK and the ordering provider’s name. Field 17b must have the ordering provider’s NPI. Podiatrist claims will be denied if these fields are blank or the ordering provider is not an AHCCCS registered provider.</t>
  </si>
  <si>
    <t xml:space="preserve">form_field</t>
  </si>
  <si>
    <t xml:space="preserve">Claim-form field requirements; pre-payment edits.</t>
  </si>
  <si>
    <t xml:space="preserve">EXT-95d1e01f32ae2bf0</t>
  </si>
  <si>
    <t xml:space="preserve">A teaching physician may not supervise more than four residents at any given time.</t>
  </si>
  <si>
    <t xml:space="preserve">The teaching physician in whose name payment is sought may not supervise more than four residents at any given time and must direct the care from such proximity as to constitute immediate availability.</t>
  </si>
  <si>
    <t xml:space="preserve">medical_record_or_permissive</t>
  </si>
  <si>
    <t xml:space="preserve">Supervision ratios, clinical conditions, permissive code lists.</t>
  </si>
  <si>
    <t xml:space="preserve">EXT-3a3eec151eeb8dd0</t>
  </si>
  <si>
    <t xml:space="preserve">PPC</t>
  </si>
  <si>
    <t xml:space="preserve">When a PPC occurs in either the inpatient or outpatient setting, payments for the services resulting in the PPC will not be made to either the facility in which the PPC occurred or to the professionals involved in performing the procedure that resulted in the PPC.</t>
  </si>
  <si>
    <t xml:space="preserve">EXT-832c4ee79e2aacaa</t>
  </si>
  <si>
    <t xml:space="preserve">Residents must have completed at least six months of a GME‑approved residency program before furnishing services without the physical presence of a teaching physician.</t>
  </si>
  <si>
    <t xml:space="preserve">Residents furnishing services, without the physical presence of a teaching physician, must have completed at least six months (postgraduate) of a Graduate Medical Education (GME) approved residency program.</t>
  </si>
  <si>
    <t xml:space="preserve">EXT-d4102b92cbe97d12</t>
  </si>
  <si>
    <t xml:space="preserve">Dentists must bill on the ADA 2024 claim form using CDT-4 codes.</t>
  </si>
  <si>
    <t xml:space="preserve">EXT-7402a46aaca8afd4</t>
  </si>
  <si>
    <t xml:space="preserve">Bunionectomy is covered only when the bunion is present with overlying skin ulceration, or neuroma secondary to bunion (neuroma to be removed at same surgery and documented by pathology report).</t>
  </si>
  <si>
    <t xml:space="preserve">EXT-3c20f7102547ba67</t>
  </si>
  <si>
    <t xml:space="preserve">NTE02</t>
  </si>
  <si>
    <t xml:space="preserve">Up to two participating or performing providers may be reported on a single claim.</t>
  </si>
  <si>
    <t xml:space="preserve">Up to Two Participating or Performing Providers may be reported on a single claim – XXProviderNPI(if a registerable Provider) or 9999999999(if not a registerable provider)Provider Name</t>
  </si>
  <si>
    <t xml:space="preserve">EXT-74fee9eddf7ee06f</t>
  </si>
  <si>
    <t xml:space="preserve">Nutritionists can bill for services covered under codes B4034-B9999, G0270, G0271, S9470, 97802-97804.</t>
  </si>
  <si>
    <t xml:space="preserve">EXT-e0a68018ac04e821</t>
  </si>
  <si>
    <t xml:space="preserve">Medically necessary foot and ankle care is covered for persons age 21 and older when provided by a podiatrist or podiatric surgeon, when ordered by the primary care provider, attending physician or practitioner, for AHCCCS eligible members.</t>
  </si>
  <si>
    <t xml:space="preserve">Effective date of service 10/1/2016 and later, medically necessary foot and ankle care is covered for persons age 21 and older when provided by a podiatrist or podiatric surgeon, when ordered by the primary care provider, attending physician or practitioner, for AHCCCS eligible members.</t>
  </si>
  <si>
    <t xml:space="preserve">persons age 21 and older</t>
  </si>
  <si>
    <t xml:space="preserve">EXT-e58d824e0542eee3</t>
  </si>
  <si>
    <t xml:space="preserve">RESPIRATORY THERAPY</t>
  </si>
  <si>
    <t xml:space="preserve">Respiratory therapists must bill with code S5180 - Home health respiratory therapy, initial evaluation.</t>
  </si>
  <si>
    <t xml:space="preserve">EXT-670a50661d5ef274</t>
  </si>
  <si>
    <t xml:space="preserve">ORDERING PROVIDER</t>
  </si>
  <si>
    <t xml:space="preserve">For the listed services, the ordering provider must be one of the specified provider types.</t>
  </si>
  <si>
    <t xml:space="preserve">Ordering providers can only be one of the following provider types:
M.D.
D.O.
Optometrist Physician Assistant Registered Nurse Practitioner Dentist Podiatrist Psychologist Certified Nurse Midwife 34 | 59 04/29/2026 Clinical Nurse Specialist (limited to DME and prescribing pharmacological agents in specific licensed health care institutions)</t>
  </si>
  <si>
    <t xml:space="preserve">EXT-47d57d2d75023c2d</t>
  </si>
  <si>
    <t xml:space="preserve">Physicians who have completed the AHCCCS required training may be reimbursed for fluoride varnish applications completed at the EPSDT visit for members who are at least 6 months of age, with at least 1 tooth eruption.</t>
  </si>
  <si>
    <t xml:space="preserve">EXT-26462c989cb669d4</t>
  </si>
  <si>
    <t xml:space="preserve">TPN is covered for members over age 21 when it is medically necessary and the only method to maintain adequate weight and strength.</t>
  </si>
  <si>
    <t xml:space="preserve">members over age 21</t>
  </si>
  <si>
    <t xml:space="preserve">EXT-e4cd1f7317111c90</t>
  </si>
  <si>
    <t xml:space="preserve">AHCCCS covers TPN for members receiving EPSDT and KidsCare members when medically necessary and not necessarily the sole source of nutrition.</t>
  </si>
  <si>
    <t xml:space="preserve">members receiving EPSDT and KidsCare members</t>
  </si>
  <si>
    <t xml:space="preserve">EXT-483aabd484cdeb89</t>
  </si>
  <si>
    <t xml:space="preserve">Physicians and hospitals may use CPT codes 94010 - 94799.</t>
  </si>
  <si>
    <t xml:space="preserve">EXT-add0425e2fa4ae56</t>
  </si>
  <si>
    <t xml:space="preserve">Peripheral nerve block CPT codes 64400-64530 may be billed separately for postoperative pain management only when specific clinical conditions are met.</t>
  </si>
  <si>
    <t xml:space="preserve">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t>
  </si>
  <si>
    <t xml:space="preserve">EXT-ca70284a40bbc216</t>
  </si>
  <si>
    <t xml:space="preserve">HEALTH RISK ASSESSMENT AND SCREENING TESTS</t>
  </si>
  <si>
    <t xml:space="preserve">Screening services provided more frequently than professionally recommended guidelines will not be covered unless medically necessary.</t>
  </si>
  <si>
    <t xml:space="preserve">Screening services provided more frequently than these professionally recommended guidelines will not be covered unless medically necessary.</t>
  </si>
  <si>
    <t xml:space="preserve">EXT-ea5370f1888742b8</t>
  </si>
  <si>
    <t xml:space="preserve">Modifier 51 does not apply if one surgical code for a peripheral nerve block for postoperative pain management is reported in addition to the anesthesia code; however, if more than one surgical code is reported, then modifier 51 applies to the additional surgical code(s).</t>
  </si>
  <si>
    <t xml:space="preserve">EXT-5e9839d61435de8c</t>
  </si>
  <si>
    <t xml:space="preserve">FACE-TO-FACE ENCOUNTER REQUIREMENTS</t>
  </si>
  <si>
    <t xml:space="preserve">The initiation of medical equipment and supplies requires a face‑to‑face encounter that must occur no more than six months prior to the start of services.</t>
  </si>
  <si>
    <t xml:space="preserve">It must occur no more than six months prior to the start of services.</t>
  </si>
  <si>
    <t xml:space="preserve">Face-to-face timing, DOS definition for DME.</t>
  </si>
  <si>
    <t xml:space="preserve">EXT-2f1c531d58994445</t>
  </si>
  <si>
    <t xml:space="preserve">The ordering of orthotics and prosthetics is excluded from the face‑to‑face encounter requirements.</t>
  </si>
  <si>
    <t xml:space="preserve">The ordering of orthotics and prosthetics is excluded from the face-to-face encounter requirements.</t>
  </si>
  <si>
    <t xml:space="preserve">EXT-310299e472769757</t>
  </si>
  <si>
    <t xml:space="preserve">DURABLE MEDICAL EQUIPMENT (DME) - BILLING DATE OF SERVICE</t>
  </si>
  <si>
    <t xml:space="preserve">The date of service billed to AHCCCS must be the date the DME/Supplies are delivered to the member.</t>
  </si>
  <si>
    <t xml:space="preserve">AHCCCS Fee-for-Service considers the date DME/Supplies are delivered to the member to be the date of service billed to AHCCCS.</t>
  </si>
  <si>
    <t xml:space="preserve">EXT-f6cfa7096248a3b9</t>
  </si>
  <si>
    <t xml:space="preserve">AHCCCS may reimburse ADHS approved and AHCCCS‑registered Treat and Refer providers (Provider Type TR) for qualifying services.</t>
  </si>
  <si>
    <t xml:space="preserve">Effective for dates of service on and after October 1, 2016, AHCCCS may reimburse ADHS approved and AHCCCS-registered Treat and Refer providers (Provider Type TR) for qualifying services.</t>
  </si>
  <si>
    <t xml:space="preserve">EXT-1a0cc0d137dc113d</t>
  </si>
  <si>
    <t xml:space="preserve">For dates of service on or after 07/01/2022 AHCCCS FFS will no longer cover NEMT transports to local community‑based support programs.</t>
  </si>
  <si>
    <t xml:space="preserve">For dates of services on or after 07/01/2022 AHCCCS FFS will no longer cover NEMT transports to local community-based support programs.</t>
  </si>
  <si>
    <t xml:space="preserve">EXT-702ce0aeb9a22711</t>
  </si>
  <si>
    <t xml:space="preserve">AHCCCS.</t>
  </si>
  <si>
    <t xml:space="preserve">When two or more members are transported in the same ambulance, each shall be charged an equal percentage of the base rate and mileage charges.</t>
  </si>
  <si>
    <t xml:space="preserve">EXT-61f1afcb5f351991</t>
  </si>
  <si>
    <t xml:space="preserve">Wait time is billed with code T2007 where each unit is 30 minutes.</t>
  </si>
  <si>
    <t xml:space="preserve">EXT-94e9288bceaea6bf</t>
  </si>
  <si>
    <t xml:space="preserve">If the diagnosis is unknown at the time of claim submission, use ICD‑10 code R68.89 for physical health or ICD‑10 code F99 for behavioral health.</t>
  </si>
  <si>
    <t xml:space="preserve">If the diagnosis is unknown at the time of claim submission request, use the following diagnosis codes:
• For physical health use ICD‑10 code R68.89, or
• For behavioral health use ICD‑10 F99.</t>
  </si>
  <si>
    <t xml:space="preserve">EXT-57bca4595d3fe99c</t>
  </si>
  <si>
    <t xml:space="preserve">AND COURT ORDERED TREATMENT</t>
  </si>
  <si>
    <t xml:space="preserve">Providers shall use modifier H9 for the submission of professional and/or outpatient claims for court ordered treatment.</t>
  </si>
  <si>
    <t xml:space="preserve">The modifier is the only evidence of the condition it marks (court order, SOAR, two-person team, group). Cannot be checked from claims.</t>
  </si>
  <si>
    <t xml:space="preserve">EXT-7ac7ebf4291d7b08</t>
  </si>
  <si>
    <t xml:space="preserve">INDIRECT CONTACT</t>
  </si>
  <si>
    <t xml:space="preserve">The provider may not bill any time associated with indirect contact with the member, including but not limited to email or phone communication specific to a specific member’s services and obtaining collateral information.</t>
  </si>
  <si>
    <t xml:space="preserve">the provider may not bill any time associated with indirect contact with the member, including but not limited to email or phone communication specific to a specific member’s services and obtaining collateral information, as these activities are included in the rate calculation.</t>
  </si>
  <si>
    <t xml:space="preserve">Documentation, minutes, licensure, form type, notification timing, supervision - not on a claim line. Keep for the KB / RAG.</t>
  </si>
  <si>
    <t xml:space="preserve">EXT-9c66bbc34165c953</t>
  </si>
  <si>
    <t xml:space="preserve">MODIFIERS</t>
  </si>
  <si>
    <t xml:space="preserve">When case management is utilized for assisting members in applying for Social Security benefits using the SOAR approach, the HK modifier is required on T1016.</t>
  </si>
  <si>
    <t xml:space="preserve">For case management utilized when assisting members in applying for Social Security benefits (using the SSI/SSDI Outreach, Access, and Recovery (SOAR) approach) the modifier HK is required. Billing T1016 with an HK modifier indicates the specific usage of the SOAR approach, and it cannot be used for any other service.</t>
  </si>
  <si>
    <t xml:space="preserve">EXT-da156d11bb5b8e1f</t>
  </si>
  <si>
    <t xml:space="preserve">Providers must be AHCCCS registered as a Category of Service (COS) type 01 (Medicine) to bill H2010.</t>
  </si>
  <si>
    <t xml:space="preserve">Providers must be AHCCCS registered as a Category of Service (COS) type 01 (Medicine).</t>
  </si>
  <si>
    <t xml:space="preserve">EXT-53a5a1783a893703</t>
  </si>
  <si>
    <t xml:space="preserve">CODING UNITS</t>
  </si>
  <si>
    <t xml:space="preserve">For case management services (T1016) with 15‑minute billing units, the first unit may be billed when any minutes are spent, and each additional unit may be billed only if at least one half of the billing unit’s time (7.5 minutes) is provided.</t>
  </si>
  <si>
    <t xml:space="preserve">For case management services (T1016), with billing units of 15 minutes, the first unit of service can be claimed/billed when one or more minutes are spent providing the service.
To claim/bill an additional unit of the service, the provider must provide service for at least one half of the billing unit’s time frame for the additional unit to be claimed/billed. If less than one half of the additional billing unit is spent providing the service, then only the initial unit of service can be claimed/billed.</t>
  </si>
  <si>
    <t xml:space="preserve">EXT-05fbb33f5d9c792f</t>
  </si>
  <si>
    <t xml:space="preserve">H2038 – Skills training and development, per diem, must be at minimum 5 hours in duration.</t>
  </si>
  <si>
    <t xml:space="preserve">H2038 – Skills training and development, per diem. Services must be at minimum 5 hours in duration.</t>
  </si>
  <si>
    <t xml:space="preserve">EXT-2898397f17c3456f</t>
  </si>
  <si>
    <t xml:space="preserve">H2018 – Psychosocial rehabilitation services, per diem, must be at minimum 5 hours in duration.</t>
  </si>
  <si>
    <t xml:space="preserve">H2018 – Psychosocial rehabilitation services, per diem. Services must be at minimum 5 hours in duration.</t>
  </si>
  <si>
    <t xml:space="preserve">EXT-3b046c2af1caa361</t>
  </si>
  <si>
    <t xml:space="preserve">For mobile crisis services, H2011 should be used and the HT modifier added for the two-person multi-disciplinary team.</t>
  </si>
  <si>
    <t xml:space="preserve">EXT-ca23a2d0ca1095fb</t>
  </si>
  <si>
    <t xml:space="preserve">Self-help/peer services (H0038) provided at a community‑based organization such as Alcohol Anonymous are not reimbursable by AHCCCS.</t>
  </si>
  <si>
    <t xml:space="preserve">Self-help/peer services provided at a community-based organization such as Alcohol Anonymous (AA) may be a part of the member’s comprehensive treatment plan but is not reimbursable by AHCCCS.</t>
  </si>
  <si>
    <t xml:space="preserve">EXT-4f538f0f1b63cf3f</t>
  </si>
  <si>
    <t xml:space="preserve">BHRFS AND PERSONAL CARE SERVICES</t>
  </si>
  <si>
    <t xml:space="preserve">BHRFs licensed through ADHS may bill H0018 with the TF modifier for personal care services only when the member has an assessment indicating a need for personal care.</t>
  </si>
  <si>
    <t xml:space="preserve">BHRFs who are also licensed through the Arizona Department of Health Services (ADHS) to provide personal care services may bill for H0018 (BH; short term residential, without room and board, per diem) with the TF modifier for personal care services.
This billing combination is only to be used by BHRFs licensed with ADHS to provide personal care services. Any member receiving such services must have had an assessment by a Physician, Physician Assistant or Advanced Practice Registered Nurse indicating that the member’s condition requires assistance with personal care.
Please note that a BHRF licensed to provide personal care services shall only bill H0018 with the TF modifier for members that require personal care services, as documented in their assessment and comprehensive service plan.</t>
  </si>
  <si>
    <t xml:space="preserve">EXT-e963aa1014398dbe</t>
  </si>
  <si>
    <t xml:space="preserve">CASE MANAGEMENT</t>
  </si>
  <si>
    <t xml:space="preserve">Case Management services must be billed on a CMS 1500 Claim Form.</t>
  </si>
  <si>
    <t xml:space="preserve">Case Management services must be billed on a CMS 1500 Claim Form</t>
  </si>
  <si>
    <t xml:space="preserve">EXT-5fa7a5e80cc22f8d</t>
  </si>
  <si>
    <t xml:space="preserve">H2014, H2017, H2018 and H2038 must be paired with the HQ modifier when providers are serving two or more members at the same time.</t>
  </si>
  <si>
    <t xml:space="preserve">NOTE: H2014, H2017, H2018 and H2038 must be paired with the HQ modifier when providers are serving two or more members at the same time.</t>
  </si>
  <si>
    <t xml:space="preserve">EXT-cd945f2b6e4f6054</t>
  </si>
  <si>
    <t xml:space="preserve">Parents (including natural parent, adoptive parent and stepparent) may be eligible to provide personal care services if the member receiving services is 21 years or older and the parent is not the member’s legal guardian.</t>
  </si>
  <si>
    <t xml:space="preserve">EXT-41ce4d023b2f32ed</t>
  </si>
  <si>
    <t xml:space="preserve">BILLING INFORMATION</t>
  </si>
  <si>
    <t xml:space="preserve">Provider must notify the AHCCCS Prior Authorization Unit within 72 hours of the emergency BH admission of a Tribal ALTCS, AIHP or TRBHA-Assigned Fee-For-Service member.</t>
  </si>
  <si>
    <t xml:space="preserve">the provider must notify the AHCCCS Prior Authorization Unit within 72 hours of the emergency BH admission of a Tribal ALTCS, AIHP or TRBHA-Assigned Fee-For-Service (FFS) member.</t>
  </si>
  <si>
    <t xml:space="preserve">Tribal ALTCS, AIHP or TRBHA-Assigned Fee-For-Service members</t>
  </si>
  <si>
    <t xml:space="preserve">EXT-c5bef0fc4cc6388e</t>
  </si>
  <si>
    <t xml:space="preserve">INDIVIDUAL VS. GROUP BASED SERVICES</t>
  </si>
  <si>
    <t xml:space="preserve">All members participating in group‑based services shall be identified individually, and have claims submitted under their individual AHCCCS member ID with the applicable CPT/HCPCS code with the accompanying group modifier, and each member shall have their own treatment/service plan.</t>
  </si>
  <si>
    <t xml:space="preserve">All members participating in group-based services shall be identified individually, and have claims submitted under their individual AHCCCS member ID with the applicable CPT/HCPCS code with the accompanying group modifier, and each member shall have their own treatment/ service plan.</t>
  </si>
  <si>
    <t xml:space="preserve">EXT-2a82914b736e151b</t>
  </si>
  <si>
    <t xml:space="preserve">Inpatient claims for court ordered treatment shall be submitted with 8 as the admission source.</t>
  </si>
  <si>
    <t xml:space="preserve">EXT-eed7e872704ff0c9</t>
  </si>
  <si>
    <t xml:space="preserve">The clinical supervision component is incorporated into the service code and is not a separately billable service.</t>
  </si>
  <si>
    <t xml:space="preserve">For BHPs who clinically supervise BHTs/BHPPs, the service code incorporates the clinical supervision component; thus, clinical supervision is not a separately billable service.</t>
  </si>
  <si>
    <t xml:space="preserve">EXT-0e874fd2cba3cc9e</t>
  </si>
  <si>
    <t xml:space="preserve">NON-TITLE XIX/XXI SERVICES</t>
  </si>
  <si>
    <t xml:space="preserve">Claims for Non-Title XIX/XXI behavioral health services are not billable to DFSM/AHCCCS.</t>
  </si>
  <si>
    <t xml:space="preserve">Claims for Non-Title XIX/XXI services are not billable to DFSM/AHCCS.</t>
  </si>
  <si>
    <t xml:space="preserve">EXT-f4d9735221867f5f</t>
  </si>
  <si>
    <t xml:space="preserve">Codes 98961 and 98962 cannot be billed together on the same day for the same member.</t>
  </si>
  <si>
    <t xml:space="preserve">codes cannot be billed together on the same day for the same member</t>
  </si>
  <si>
    <t xml:space="preserve">duplicate</t>
  </si>
  <si>
    <t xml:space="preserve">CHW pair 98960/98961/98962 already in state_rules as legacy_hand_authored. Reject draft; key canonicalisation fix pending.</t>
  </si>
  <si>
    <t xml:space="preserve">EXT-53b9baa01c40ccc3</t>
  </si>
  <si>
    <t xml:space="preserve">Codes 98960 and 98961 cannot be billed together on the same day for the same member.</t>
  </si>
  <si>
    <t xml:space="preserve">EXT-393dbaa806311c9e</t>
  </si>
  <si>
    <t xml:space="preserve">Codes 98960 and 98962 cannot be billed together on the same day for the same member.</t>
  </si>
  <si>
    <t xml:space="preserve">EXT-04956a62089eee7d</t>
  </si>
  <si>
    <t xml:space="preserve">Claims can be submitted for up to 24 units per month per member inclusive of all three billable codes (98960, 98961, and 98962).</t>
  </si>
  <si>
    <t xml:space="preserve">Claims can be submitted for a maximum of four units per day, up to 24 units per month per member (total units allowable is inclusive of all 3 billable codes; codes cannot be billed together on the same day for the same member).</t>
  </si>
  <si>
    <t xml:space="preserve">CHW 24 units/month - seed exists.</t>
  </si>
  <si>
    <t xml:space="preserve">EXT-53efdfe83f934b4f</t>
  </si>
  <si>
    <t xml:space="preserve">Claims can be submitted for a maximum of four units per day per member inclusive of all three billable codes (98960, 98961, and 98962).</t>
  </si>
  <si>
    <t xml:space="preserve">Claims for covered services provided by the certified CHW/CHR shall be submitted by the registered provider. Claims can be submitted for a maximum of four units per day, up to 24 units per month per member (total units allowable is inclusive of all 3 billable codes; codes cannot be billed together on the same day for the same member).</t>
  </si>
  <si>
    <t xml:space="preserve">CHW 4 units/day - seed exists.</t>
  </si>
  <si>
    <t xml:space="preserve">EXT-ecdfe4fd31bb3194</t>
  </si>
  <si>
    <t xml:space="preserve">TO MAINTAIN EMPLOYMENT</t>
  </si>
  <si>
    <t xml:space="preserve">H2025 and H2027 may not be billed on the same day for the same member.</t>
  </si>
  <si>
    <t xml:space="preserve">Service codes H2025, H2026, and H2027 cannot be billed on the same day.</t>
  </si>
  <si>
    <t xml:space="preserve">H2025/H2026/H2027 same-day pairs - seeds exist (grammar example).</t>
  </si>
  <si>
    <t xml:space="preserve">EXT-2b317a18c8b801ee</t>
  </si>
  <si>
    <t xml:space="preserve">H2026 and H2027 may not be billed on the same day for the same member.</t>
  </si>
  <si>
    <t xml:space="preserve">EXT-aa04cd3726c705ae</t>
  </si>
  <si>
    <t xml:space="preserve">H2025 and H2026 may not be billed on the same day for the same member.</t>
  </si>
  <si>
    <t xml:space="preserve">EXT-f31ddc68b4a2ce02</t>
  </si>
  <si>
    <t xml:space="preserve">99070: conditional non-coverage ('except' clause).</t>
  </si>
  <si>
    <t xml:space="preserve">regex_noise</t>
  </si>
  <si>
    <t xml:space="preserve">Pattern layer read 'except spectacles' (part of the 99070 code description) as a coverage condition. Row 3 is the real rule.</t>
  </si>
  <si>
    <t xml:space="preserve">EXT-4994601fd28a65c2</t>
  </si>
  <si>
    <t xml:space="preserve">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7 | 59 04/29/2026 Modifier 59 may be used to indicate that a separate peripheral nerve block injection was performed for postoperative pain management, rather than for intraoperative anesthesia.</t>
  </si>
  <si>
    <t xml:space="preserve">Pattern layer swallowed a whole page block as one rule.</t>
  </si>
  <si>
    <t xml:space="preserve">EXT-5eb872741adece0f</t>
  </si>
  <si>
    <t xml:space="preserve">Prior authorization from DFSM is required for all medical equipment and appliances, and prosthetic devices when the purchase price exceeds $500.00 for ALTCS members.</t>
  </si>
  <si>
    <t xml:space="preserve">ALTCS members require PA from their Case Manager for all medical equipment and appliances (rentals and purchases), and prosthetics and orthotic devices.</t>
  </si>
  <si>
    <t xml:space="preserve">ALTCS members</t>
  </si>
  <si>
    <t xml:space="preserve">invented</t>
  </si>
  <si>
    <t xml:space="preserve">Statement says $500 / DFSM; the quote says ALTCS members need PA from their CASE MANAGER for ALL equipment. Numbers invented.</t>
  </si>
  <si>
    <t xml:space="preserve">EXT-a4f8b3be418be90e</t>
  </si>
  <si>
    <t xml:space="preserve">ICD-9 code 799.9 is no longer a valid or acceptable diagnosis code and claims billed with this diagnosis code will be denied.</t>
  </si>
  <si>
    <t xml:space="preserve">ICD-9 code 799.9 is no longer a valid or acceptable diagnosis code. Claims billed with this diagnosis code will be denied.</t>
  </si>
  <si>
    <t xml:space="preserve">stale</t>
  </si>
  <si>
    <t xml:space="preserve">ICD-9 799.9: ICD-9 retired 10/1/2015; cannot appear in current paid claims.</t>
  </si>
  <si>
    <t xml:space="preserve">EXT-36be3e7ff6005933</t>
  </si>
  <si>
    <t xml:space="preserve">duplicate_draft</t>
  </si>
  <si>
    <t xml:space="preserve">Identical statement to rows 36/42 - same section extracted twice; dedupe by (chapter, statement).</t>
  </si>
  <si>
    <t xml:space="preserve">EXT-dadea59b8a325849</t>
  </si>
  <si>
    <t xml:space="preserve">INPATIENT FACILITY PAYMENT RESPONSIBILITY</t>
  </si>
  <si>
    <t xml:space="preserve">If the principal diagnosis on the claim is a BH diagnosis, then payment of the facility claim is the responsibility of the BH entity for both behavioral and physical health services.</t>
  </si>
  <si>
    <t xml:space="preserve">When the principal diagnosis on an inpatient claim is a BH diagnosis, the assigned BH entity shall not deny payment of the inpatient facility claim for lack of authorization or medical necessity when the member’s enrolled entity authorized and/or determined medical necessity of the stay, such as when the admitting diagnosis is a physical health diagnosis.</t>
  </si>
  <si>
    <t xml:space="preserve">Payer-responsibility paraphrase that goes beyond the quote (quote: BH entity shall not deny for lack of auth). Not a billing rule.</t>
  </si>
  <si>
    <t xml:space="preserve">EXT-a368dfc9f2ced7dc</t>
  </si>
  <si>
    <t xml:space="preserve">EXT-f7d59aaa7940b7a9</t>
  </si>
  <si>
    <t xml:space="preserve">CODING &amp; COMMON MODIFIERS FOR BILLING BEHAVIORAL HEALTH SERVICES</t>
  </si>
  <si>
    <t xml:space="preserve">HQ modifier(s) must be used for non-IOP services when services are delivered in a group setting.</t>
  </si>
  <si>
    <t xml:space="preserve">Inpatient per diem BH codes are priced to include all the non-professional BH services the member will receive in a day. Additional BH services shall not be unbundled from the per diem code.</t>
  </si>
  <si>
    <t xml:space="preserve">Quote (per diem unbundling) has nothing to do with the statement (HQ for non-IOP). Statement is also circular (group = HQ).</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</si>
</sst>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i val="true"/>
      <sz val="9"/>
      <name val="Arial"/>
      <family val="0"/>
      <charset val="1"/>
    </font>
    <font>
      <sz val="10"/>
      <name val="Arial"/>
      <family val="0"/>
      <charset val="1"/>
    </font>
  </fonts>
  <fills count="8">
    <fill>
      <patternFill patternType="none"/>
    </fill>
    <fill>
      <patternFill patternType="gray125"/>
    </fill>
    <fill>
      <patternFill patternType="solid">
        <fgColor rgb="FFC6EFCE"/>
        <bgColor rgb="FFDDEBF7"/>
      </patternFill>
    </fill>
    <fill>
      <patternFill patternType="solid">
        <fgColor rgb="FFDDEBF7"/>
        <bgColor rgb="FFEDEDED"/>
      </patternFill>
    </fill>
    <fill>
      <patternFill patternType="solid">
        <fgColor rgb="FFFFEB9C"/>
        <bgColor rgb="FFFFFFCC"/>
      </patternFill>
    </fill>
    <fill>
      <patternFill patternType="solid">
        <fgColor rgb="FFEDEDED"/>
        <bgColor rgb="FFDDEBF7"/>
      </patternFill>
    </fill>
    <fill>
      <patternFill patternType="solid">
        <fgColor rgb="FFE2D5F1"/>
        <bgColor rgb="FFDDEBF7"/>
      </patternFill>
    </fill>
    <fill>
      <patternFill patternType="solid">
        <fgColor rgb="FFFFC7CE"/>
        <bgColor rgb="FFE2D5F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2D5F1"/>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E2D5F1"/>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0"/>
    <col collapsed="false" customWidth="true" hidden="false" outlineLevel="0" max="4" min="4" style="1" width="110"/>
  </cols>
  <sheetData>
    <row r="1" customFormat="false" ht="34.5" hidden="false" customHeight="true" outlineLevel="0" collapsed="false">
      <c r="A1" s="2" t="s">
        <v>0</v>
      </c>
      <c r="B1" s="2"/>
      <c r="C1" s="2"/>
      <c r="D1" s="2"/>
    </row>
    <row r="2" customFormat="false" ht="63.75" hidden="false" customHeight="true" outlineLevel="0" collapsed="false">
      <c r="A2" s="3" t="s">
        <v>1</v>
      </c>
      <c r="B2" s="4"/>
      <c r="C2" s="4"/>
      <c r="D2" s="4"/>
    </row>
    <row r="3" customFormat="false" ht="15" hidden="false" customHeight="true" outlineLevel="0" collapsed="false">
      <c r="A3" s="2" t="s">
        <v>2</v>
      </c>
      <c r="B3" s="2" t="s">
        <v>3</v>
      </c>
      <c r="C3" s="2" t="s">
        <v>4</v>
      </c>
      <c r="D3" s="2" t="s">
        <v>5</v>
      </c>
    </row>
    <row r="4" customFormat="false" ht="15" hidden="false" customHeight="true" outlineLevel="0" collapsed="false">
      <c r="A4" s="5" t="s">
        <v>6</v>
      </c>
      <c r="B4" s="4" t="n">
        <f aca="false">COUNTIF('Scored drafts'!$L$2:$L$158,A4)</f>
        <v>6</v>
      </c>
      <c r="C4" s="6" t="n">
        <f aca="false">B4/$B$10</f>
        <v>0.0382165605095541</v>
      </c>
      <c r="D4" s="4" t="s">
        <v>7</v>
      </c>
    </row>
    <row r="5" customFormat="false" ht="23.25" hidden="false" customHeight="true" outlineLevel="0" collapsed="false">
      <c r="A5" s="7" t="s">
        <v>8</v>
      </c>
      <c r="B5" s="4" t="n">
        <f aca="false">COUNTIF('Scored drafts'!$L$2:$L$158,A5)</f>
        <v>57</v>
      </c>
      <c r="C5" s="6" t="n">
        <f aca="false">B5/$B$10</f>
        <v>0.363057324840764</v>
      </c>
      <c r="D5" s="4" t="s">
        <v>9</v>
      </c>
    </row>
    <row r="6" customFormat="false" ht="23.25" hidden="false" customHeight="true" outlineLevel="0" collapsed="false">
      <c r="A6" s="8" t="s">
        <v>10</v>
      </c>
      <c r="B6" s="4" t="n">
        <f aca="false">COUNTIF('Scored drafts'!$L$2:$L$158,A6)</f>
        <v>25</v>
      </c>
      <c r="C6" s="6" t="n">
        <f aca="false">B6/$B$10</f>
        <v>0.159235668789809</v>
      </c>
      <c r="D6" s="4" t="s">
        <v>11</v>
      </c>
    </row>
    <row r="7" customFormat="false" ht="15" hidden="false" customHeight="true" outlineLevel="0" collapsed="false">
      <c r="A7" s="9" t="s">
        <v>12</v>
      </c>
      <c r="B7" s="4" t="n">
        <f aca="false">COUNTIF('Scored drafts'!$L$2:$L$158,A7)</f>
        <v>53</v>
      </c>
      <c r="C7" s="6" t="n">
        <f aca="false">B7/$B$10</f>
        <v>0.337579617834395</v>
      </c>
      <c r="D7" s="4" t="s">
        <v>13</v>
      </c>
    </row>
    <row r="8" customFormat="false" ht="15" hidden="false" customHeight="true" outlineLevel="0" collapsed="false">
      <c r="A8" s="10" t="s">
        <v>14</v>
      </c>
      <c r="B8" s="4" t="n">
        <f aca="false">COUNTIF('Scored drafts'!$L$2:$L$158,A8)</f>
        <v>8</v>
      </c>
      <c r="C8" s="6" t="n">
        <f aca="false">B8/$B$10</f>
        <v>0.0509554140127389</v>
      </c>
      <c r="D8" s="4" t="s">
        <v>15</v>
      </c>
    </row>
    <row r="9" customFormat="false" ht="15" hidden="false" customHeight="true" outlineLevel="0" collapsed="false">
      <c r="A9" s="11" t="s">
        <v>16</v>
      </c>
      <c r="B9" s="4" t="n">
        <f aca="false">COUNTIF('Scored drafts'!$L$2:$L$158,A9)</f>
        <v>8</v>
      </c>
      <c r="C9" s="6" t="n">
        <f aca="false">B9/$B$10</f>
        <v>0.0509554140127389</v>
      </c>
      <c r="D9" s="4" t="s">
        <v>17</v>
      </c>
    </row>
    <row r="10" customFormat="false" ht="15" hidden="false" customHeight="true" outlineLevel="0" collapsed="false">
      <c r="A10" s="4" t="s">
        <v>18</v>
      </c>
      <c r="B10" s="4" t="n">
        <f aca="false">SUM(B4:B9)</f>
        <v>157</v>
      </c>
      <c r="C10" s="6" t="n">
        <f aca="false">SUM(C4:C9)</f>
        <v>1</v>
      </c>
      <c r="D10" s="4"/>
    </row>
    <row r="11" customFormat="false" ht="15" hidden="false" customHeight="true" outlineLevel="0" collapsed="false">
      <c r="A11" s="4"/>
      <c r="B11" s="4"/>
      <c r="C11" s="4"/>
      <c r="D11" s="4"/>
    </row>
    <row r="12" customFormat="false" ht="15" hidden="false" customHeight="true" outlineLevel="0" collapsed="false">
      <c r="A12" s="4" t="s">
        <v>19</v>
      </c>
      <c r="B12" s="4" t="s">
        <v>3</v>
      </c>
      <c r="C12" s="4"/>
      <c r="D12" s="4"/>
    </row>
    <row r="13" customFormat="false" ht="15" hidden="false" customHeight="true" outlineLevel="0" collapsed="false">
      <c r="A13" s="4" t="s">
        <v>20</v>
      </c>
      <c r="B13" s="4" t="n">
        <f aca="false">COUNTIF('Scored drafts'!$J$2:$J$158,A13)</f>
        <v>134</v>
      </c>
      <c r="C13" s="4"/>
      <c r="D13" s="4"/>
    </row>
    <row r="14" customFormat="false" ht="15" hidden="false" customHeight="true" outlineLevel="0" collapsed="false">
      <c r="A14" s="4" t="s">
        <v>21</v>
      </c>
      <c r="B14" s="4" t="n">
        <f aca="false">COUNTIF('Scored drafts'!$J$2:$J$158,A14)</f>
        <v>5</v>
      </c>
      <c r="C14" s="4"/>
      <c r="D14" s="4"/>
    </row>
    <row r="15" customFormat="false" ht="15" hidden="false" customHeight="true" outlineLevel="0" collapsed="false">
      <c r="A15" s="4" t="s">
        <v>22</v>
      </c>
      <c r="B15" s="4" t="n">
        <f aca="false">COUNTIF('Scored drafts'!$J$2:$J$158,A15)</f>
        <v>18</v>
      </c>
      <c r="C15" s="4"/>
      <c r="D15" s="4"/>
    </row>
    <row r="16" customFormat="false" ht="15" hidden="false" customHeight="true" outlineLevel="0" collapsed="false">
      <c r="A16" s="4"/>
      <c r="B16" s="4"/>
      <c r="C16" s="4"/>
      <c r="D16" s="4"/>
    </row>
    <row r="17" customFormat="false" ht="15" hidden="false" customHeight="true" outlineLevel="0" collapsed="false">
      <c r="A17" s="4" t="s">
        <v>23</v>
      </c>
      <c r="B17" s="4" t="s">
        <v>3</v>
      </c>
      <c r="C17" s="4"/>
      <c r="D17" s="4"/>
    </row>
    <row r="18" customFormat="false" ht="15" hidden="false" customHeight="true" outlineLevel="0" collapsed="false">
      <c r="A18" s="4" t="s">
        <v>24</v>
      </c>
      <c r="B18" s="4" t="n">
        <f aca="false">COUNTIF('Scored drafts'!$I$2:$I$158,A18)</f>
        <v>149</v>
      </c>
      <c r="C18" s="4"/>
      <c r="D18" s="4"/>
    </row>
    <row r="19" customFormat="false" ht="15" hidden="false" customHeight="true" outlineLevel="0" collapsed="false">
      <c r="A19" s="4" t="s">
        <v>25</v>
      </c>
      <c r="B19" s="4" t="n">
        <f aca="false">COUNTIF('Scored drafts'!$I$2:$I$158,A19)</f>
        <v>6</v>
      </c>
      <c r="C19" s="4"/>
      <c r="D19" s="4"/>
    </row>
    <row r="20" customFormat="false" ht="15" hidden="false" customHeight="true" outlineLevel="0" collapsed="false">
      <c r="A20" s="4" t="s">
        <v>26</v>
      </c>
      <c r="B20" s="4" t="n">
        <f aca="false">COUNTIF('Scored drafts'!$I$2:$I$158,A20)</f>
        <v>2</v>
      </c>
      <c r="C20" s="4"/>
      <c r="D20" s="4"/>
    </row>
    <row r="21" customFormat="false" ht="15" hidden="false" customHeight="true" outlineLevel="0" collapsed="false">
      <c r="A21" s="4"/>
      <c r="B21" s="4"/>
      <c r="C21" s="4"/>
      <c r="D21" s="4"/>
    </row>
    <row r="22" customFormat="false" ht="15" hidden="false" customHeight="true" outlineLevel="0" collapsed="false">
      <c r="A22" s="4" t="s">
        <v>27</v>
      </c>
      <c r="B22" s="4"/>
      <c r="C22" s="4"/>
      <c r="D22" s="4"/>
    </row>
    <row r="23" customFormat="false" ht="113.25" hidden="false" customHeight="true" outlineLevel="0" collapsed="false">
      <c r="A23" s="4" t="s">
        <v>28</v>
      </c>
      <c r="B23" s="4"/>
      <c r="C23" s="4"/>
      <c r="D23" s="4"/>
    </row>
    <row r="24" customFormat="false" ht="45.75" hidden="false" customHeight="true" outlineLevel="0" collapsed="false">
      <c r="A24" s="4" t="s">
        <v>29</v>
      </c>
      <c r="B24" s="4"/>
      <c r="C24" s="4"/>
      <c r="D24" s="4"/>
    </row>
    <row r="25" customFormat="false" ht="45.75" hidden="false" customHeight="true" outlineLevel="0" collapsed="false">
      <c r="A25" s="4" t="s">
        <v>30</v>
      </c>
      <c r="B25" s="4"/>
      <c r="C25" s="4"/>
      <c r="D25" s="4"/>
    </row>
    <row r="26" customFormat="false" ht="57" hidden="false" customHeight="true" outlineLevel="0" collapsed="false">
      <c r="A26" s="4" t="s">
        <v>31</v>
      </c>
      <c r="B26" s="4"/>
      <c r="C26" s="4"/>
      <c r="D26" s="4"/>
    </row>
    <row r="27" customFormat="false" ht="102" hidden="false" customHeight="true" outlineLevel="0" collapsed="false">
      <c r="A27" s="4" t="s">
        <v>32</v>
      </c>
      <c r="B27" s="4"/>
      <c r="C27" s="4"/>
      <c r="D27" s="4"/>
    </row>
    <row r="28" customFormat="false" ht="79.5" hidden="false" customHeight="true" outlineLevel="0" collapsed="false">
      <c r="A28" s="4" t="s">
        <v>33</v>
      </c>
      <c r="B28" s="4"/>
      <c r="C28" s="4"/>
      <c r="D28" s="4"/>
    </row>
    <row r="30" customFormat="false" ht="15" hidden="false" customHeight="false" outlineLevel="0" collapsed="false">
      <c r="A30" s="12" t="s">
        <v>34</v>
      </c>
      <c r="B30" s="12" t="s">
        <v>3</v>
      </c>
    </row>
    <row r="31" customFormat="false" ht="15" hidden="false" customHeight="false" outlineLevel="0" collapsed="false">
      <c r="A31" s="4" t="s">
        <v>35</v>
      </c>
      <c r="B31" s="4" t="n">
        <f aca="false">COUNTIF('Scored drafts'!$K$2:$K$158,A31)</f>
        <v>116</v>
      </c>
    </row>
    <row r="32" customFormat="false" ht="15" hidden="false" customHeight="false" outlineLevel="0" collapsed="false">
      <c r="A32" s="4" t="s">
        <v>36</v>
      </c>
      <c r="B32" s="4" t="n">
        <f aca="false">COUNTIF('Scored drafts'!$K$2:$K$158,A32)</f>
        <v>4</v>
      </c>
    </row>
    <row r="33" customFormat="false" ht="15" hidden="false" customHeight="false" outlineLevel="0" collapsed="false">
      <c r="A33" s="4" t="s">
        <v>37</v>
      </c>
      <c r="B33" s="4" t="n">
        <f aca="false">COUNTIF('Scored drafts'!$K$2:$K$158,A33)</f>
        <v>1</v>
      </c>
    </row>
    <row r="34" customFormat="false" ht="15" hidden="false" customHeight="false" outlineLevel="0" collapsed="false">
      <c r="A34" s="4" t="s">
        <v>38</v>
      </c>
      <c r="B34" s="4" t="n">
        <f aca="false">COUNTIF('Scored drafts'!$K$2:$K$158,A34)</f>
        <v>16</v>
      </c>
    </row>
    <row r="35" customFormat="false" ht="15" hidden="false" customHeight="false" outlineLevel="0" collapsed="false">
      <c r="A35" s="4" t="s">
        <v>39</v>
      </c>
      <c r="B35" s="4" t="n">
        <f aca="false">COUNTIF('Scored drafts'!$K$2:$K$158,A35)</f>
        <v>7</v>
      </c>
    </row>
    <row r="36" customFormat="false" ht="15" hidden="false" customHeight="false" outlineLevel="0" collapsed="false">
      <c r="A36" s="4" t="s">
        <v>40</v>
      </c>
      <c r="B36" s="4" t="n">
        <f aca="false">COUNTIF('Scored drafts'!$K$2:$K$158,A36)</f>
        <v>8</v>
      </c>
    </row>
    <row r="37" customFormat="false" ht="15" hidden="false" customHeight="false" outlineLevel="0" collapsed="false">
      <c r="A37" s="4" t="s">
        <v>41</v>
      </c>
      <c r="B37" s="4" t="n">
        <f aca="false">COUNTIF('Scored drafts'!$K$2:$K$158,A37)</f>
        <v>2</v>
      </c>
    </row>
    <row r="38" customFormat="false" ht="15" hidden="false" customHeight="false" outlineLevel="0" collapsed="false">
      <c r="A38" s="4" t="s">
        <v>42</v>
      </c>
      <c r="B38" s="4" t="n">
        <f aca="false">COUNTIF('Scored drafts'!$K$2:$K$158,A38)</f>
        <v>2</v>
      </c>
    </row>
    <row r="39" customFormat="false" ht="15" hidden="false" customHeight="false" outlineLevel="0" collapsed="false">
      <c r="A39" s="4" t="s">
        <v>43</v>
      </c>
      <c r="B39" s="4" t="n">
        <f aca="false">COUNTIF('Scored drafts'!$K$2:$K$158,A39)</f>
        <v>1</v>
      </c>
    </row>
    <row r="40" customFormat="false" ht="15" hidden="false" customHeight="false" outlineLevel="0" collapsed="false">
      <c r="A40" s="12" t="s">
        <v>18</v>
      </c>
      <c r="B40" s="12" t="n">
        <f aca="false">SUM(B31:B39)</f>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8"/>
    <col collapsed="false" customWidth="true" hidden="false" outlineLevel="0" max="4" min="4" style="1" width="28"/>
    <col collapsed="false" customWidth="true" hidden="false" outlineLevel="0" max="6" min="5" style="1" width="60"/>
    <col collapsed="false" customWidth="true" hidden="false" outlineLevel="0" max="7" min="7" style="1" width="10"/>
    <col collapsed="false" customWidth="true" hidden="false" outlineLevel="0" max="8" min="8" style="1" width="18"/>
    <col collapsed="false" customWidth="true" hidden="false" outlineLevel="0" max="10" min="9" style="1" width="12"/>
    <col collapsed="false" customWidth="true" hidden="false" outlineLevel="0" max="11" min="11" style="1" width="22"/>
    <col collapsed="false" customWidth="true" hidden="false" outlineLevel="0" max="12" min="12" style="1" width="26"/>
    <col collapsed="false" customWidth="true" hidden="false" outlineLevel="0" max="13" min="13" style="1" width="70"/>
  </cols>
  <sheetData>
    <row r="1" customFormat="false" ht="45.75" hidden="false" customHeight="true" outlineLevel="0" collapsed="false">
      <c r="A1" s="2" t="s">
        <v>44</v>
      </c>
      <c r="B1" s="2" t="s">
        <v>45</v>
      </c>
      <c r="C1" s="2" t="s">
        <v>46</v>
      </c>
      <c r="D1" s="2" t="s">
        <v>47</v>
      </c>
      <c r="E1" s="2" t="s">
        <v>48</v>
      </c>
      <c r="F1" s="2" t="s">
        <v>49</v>
      </c>
      <c r="G1" s="2" t="s">
        <v>50</v>
      </c>
      <c r="H1" s="2" t="s">
        <v>51</v>
      </c>
      <c r="I1" s="2" t="s">
        <v>23</v>
      </c>
      <c r="J1" s="2" t="s">
        <v>19</v>
      </c>
      <c r="K1" s="2" t="s">
        <v>52</v>
      </c>
      <c r="L1" s="2" t="s">
        <v>53</v>
      </c>
      <c r="M1" s="2" t="s">
        <v>54</v>
      </c>
      <c r="N1" s="2" t="s">
        <v>55</v>
      </c>
    </row>
    <row r="2" customFormat="false" ht="45.75" hidden="false" customHeight="true" outlineLevel="0" collapsed="false">
      <c r="A2" s="4" t="n">
        <v>3</v>
      </c>
      <c r="B2" s="4" t="s">
        <v>56</v>
      </c>
      <c r="C2" s="4" t="n">
        <v>10</v>
      </c>
      <c r="D2" s="4" t="s">
        <v>57</v>
      </c>
      <c r="E2" s="4" t="s">
        <v>58</v>
      </c>
      <c r="F2" s="4" t="s">
        <v>59</v>
      </c>
      <c r="G2" s="4" t="n">
        <v>1</v>
      </c>
      <c r="H2" s="4" t="s">
        <v>60</v>
      </c>
      <c r="I2" s="4" t="s">
        <v>24</v>
      </c>
      <c r="J2" s="4" t="s">
        <v>20</v>
      </c>
      <c r="K2" s="4" t="s">
        <v>35</v>
      </c>
      <c r="L2" s="5" t="s">
        <v>6</v>
      </c>
      <c r="M2" s="4" t="s">
        <v>61</v>
      </c>
      <c r="N2" s="4" t="s">
        <v>62</v>
      </c>
    </row>
    <row r="3" customFormat="false" ht="23.25" hidden="false" customHeight="true" outlineLevel="0" collapsed="false">
      <c r="A3" s="4" t="n">
        <v>10</v>
      </c>
      <c r="B3" s="4" t="s">
        <v>63</v>
      </c>
      <c r="C3" s="4" t="n">
        <v>10</v>
      </c>
      <c r="D3" s="4" t="s">
        <v>64</v>
      </c>
      <c r="E3" s="4" t="s">
        <v>65</v>
      </c>
      <c r="F3" s="4" t="s">
        <v>66</v>
      </c>
      <c r="G3" s="4" t="n">
        <v>1</v>
      </c>
      <c r="H3" s="4" t="s">
        <v>60</v>
      </c>
      <c r="I3" s="4" t="s">
        <v>24</v>
      </c>
      <c r="J3" s="4" t="s">
        <v>20</v>
      </c>
      <c r="K3" s="4" t="s">
        <v>35</v>
      </c>
      <c r="L3" s="5" t="s">
        <v>6</v>
      </c>
      <c r="M3" s="4" t="s">
        <v>61</v>
      </c>
      <c r="N3" s="4" t="s">
        <v>67</v>
      </c>
    </row>
    <row r="4" customFormat="false" ht="45.75" hidden="false" customHeight="true" outlineLevel="0" collapsed="false">
      <c r="A4" s="4" t="n">
        <v>38</v>
      </c>
      <c r="B4" s="4" t="s">
        <v>68</v>
      </c>
      <c r="C4" s="4" t="n">
        <v>10</v>
      </c>
      <c r="D4" s="4" t="s">
        <v>69</v>
      </c>
      <c r="E4" s="4" t="s">
        <v>70</v>
      </c>
      <c r="F4" s="4" t="s">
        <v>71</v>
      </c>
      <c r="G4" s="4" t="n">
        <v>0.99</v>
      </c>
      <c r="H4" s="4" t="s">
        <v>60</v>
      </c>
      <c r="I4" s="4" t="s">
        <v>24</v>
      </c>
      <c r="J4" s="4" t="s">
        <v>20</v>
      </c>
      <c r="K4" s="4" t="s">
        <v>35</v>
      </c>
      <c r="L4" s="5" t="s">
        <v>6</v>
      </c>
      <c r="M4" s="4" t="s">
        <v>72</v>
      </c>
      <c r="N4" s="4" t="s">
        <v>73</v>
      </c>
    </row>
    <row r="5" customFormat="false" ht="34.5" hidden="false" customHeight="true" outlineLevel="0" collapsed="false">
      <c r="A5" s="4" t="n">
        <v>55</v>
      </c>
      <c r="B5" s="4" t="s">
        <v>74</v>
      </c>
      <c r="C5" s="4" t="n">
        <v>10</v>
      </c>
      <c r="D5" s="4" t="s">
        <v>75</v>
      </c>
      <c r="E5" s="4" t="s">
        <v>76</v>
      </c>
      <c r="F5" s="4" t="s">
        <v>77</v>
      </c>
      <c r="G5" s="4" t="n">
        <v>0.98</v>
      </c>
      <c r="H5" s="4" t="s">
        <v>60</v>
      </c>
      <c r="I5" s="4" t="s">
        <v>25</v>
      </c>
      <c r="J5" s="4" t="s">
        <v>20</v>
      </c>
      <c r="K5" s="4" t="s">
        <v>35</v>
      </c>
      <c r="L5" s="5" t="s">
        <v>6</v>
      </c>
      <c r="M5" s="4" t="s">
        <v>61</v>
      </c>
      <c r="N5" s="4" t="s">
        <v>78</v>
      </c>
    </row>
    <row r="6" customFormat="false" ht="34.5" hidden="false" customHeight="true" outlineLevel="0" collapsed="false">
      <c r="A6" s="4" t="n">
        <v>57</v>
      </c>
      <c r="B6" s="4" t="s">
        <v>79</v>
      </c>
      <c r="C6" s="4" t="n">
        <v>10</v>
      </c>
      <c r="D6" s="4" t="s">
        <v>75</v>
      </c>
      <c r="E6" s="4" t="s">
        <v>80</v>
      </c>
      <c r="F6" s="4" t="s">
        <v>77</v>
      </c>
      <c r="G6" s="4" t="n">
        <v>0.98</v>
      </c>
      <c r="H6" s="4" t="s">
        <v>60</v>
      </c>
      <c r="I6" s="4" t="s">
        <v>25</v>
      </c>
      <c r="J6" s="4" t="s">
        <v>20</v>
      </c>
      <c r="K6" s="4" t="s">
        <v>35</v>
      </c>
      <c r="L6" s="5" t="s">
        <v>6</v>
      </c>
      <c r="M6" s="4" t="s">
        <v>61</v>
      </c>
      <c r="N6" s="4" t="s">
        <v>81</v>
      </c>
    </row>
    <row r="7" customFormat="false" ht="23.25" hidden="false" customHeight="true" outlineLevel="0" collapsed="false">
      <c r="A7" s="4" t="n">
        <v>54</v>
      </c>
      <c r="B7" s="4" t="s">
        <v>82</v>
      </c>
      <c r="C7" s="4" t="n">
        <v>19</v>
      </c>
      <c r="D7" s="4" t="s">
        <v>83</v>
      </c>
      <c r="E7" s="4" t="s">
        <v>84</v>
      </c>
      <c r="F7" s="4" t="s">
        <v>85</v>
      </c>
      <c r="G7" s="4" t="n">
        <v>0.98</v>
      </c>
      <c r="H7" s="4" t="s">
        <v>60</v>
      </c>
      <c r="I7" s="4" t="s">
        <v>24</v>
      </c>
      <c r="J7" s="4" t="s">
        <v>20</v>
      </c>
      <c r="K7" s="4" t="s">
        <v>35</v>
      </c>
      <c r="L7" s="5" t="s">
        <v>6</v>
      </c>
      <c r="M7" s="4" t="s">
        <v>86</v>
      </c>
      <c r="N7" s="4" t="s">
        <v>87</v>
      </c>
    </row>
    <row r="8" customFormat="false" ht="34.5" hidden="false" customHeight="true" outlineLevel="0" collapsed="false">
      <c r="A8" s="4" t="n">
        <v>1</v>
      </c>
      <c r="B8" s="4" t="s">
        <v>88</v>
      </c>
      <c r="C8" s="4" t="n">
        <v>10</v>
      </c>
      <c r="D8" s="4" t="s">
        <v>89</v>
      </c>
      <c r="E8" s="4" t="s">
        <v>90</v>
      </c>
      <c r="F8" s="4" t="s">
        <v>90</v>
      </c>
      <c r="G8" s="4" t="n">
        <v>1</v>
      </c>
      <c r="H8" s="4" t="s">
        <v>91</v>
      </c>
      <c r="I8" s="4" t="s">
        <v>24</v>
      </c>
      <c r="J8" s="4" t="s">
        <v>20</v>
      </c>
      <c r="K8" s="4" t="s">
        <v>35</v>
      </c>
      <c r="L8" s="7" t="s">
        <v>8</v>
      </c>
      <c r="M8" s="4" t="s">
        <v>92</v>
      </c>
      <c r="N8" s="4" t="s">
        <v>93</v>
      </c>
    </row>
    <row r="9" customFormat="false" ht="23.25" hidden="false" customHeight="true" outlineLevel="0" collapsed="false">
      <c r="A9" s="4" t="n">
        <v>4</v>
      </c>
      <c r="B9" s="4" t="s">
        <v>94</v>
      </c>
      <c r="C9" s="4" t="n">
        <v>10</v>
      </c>
      <c r="D9" s="4" t="s">
        <v>95</v>
      </c>
      <c r="E9" s="4" t="s">
        <v>96</v>
      </c>
      <c r="F9" s="4" t="s">
        <v>96</v>
      </c>
      <c r="G9" s="4" t="n">
        <v>1</v>
      </c>
      <c r="H9" s="4" t="s">
        <v>60</v>
      </c>
      <c r="I9" s="4" t="s">
        <v>24</v>
      </c>
      <c r="J9" s="4" t="s">
        <v>20</v>
      </c>
      <c r="K9" s="4" t="s">
        <v>35</v>
      </c>
      <c r="L9" s="7" t="s">
        <v>8</v>
      </c>
      <c r="M9" s="4" t="s">
        <v>97</v>
      </c>
      <c r="N9" s="4" t="s">
        <v>98</v>
      </c>
    </row>
    <row r="10" customFormat="false" ht="23.25" hidden="false" customHeight="true" outlineLevel="0" collapsed="false">
      <c r="A10" s="4" t="n">
        <v>5</v>
      </c>
      <c r="B10" s="4" t="s">
        <v>99</v>
      </c>
      <c r="C10" s="4" t="n">
        <v>10</v>
      </c>
      <c r="D10" s="4" t="s">
        <v>95</v>
      </c>
      <c r="E10" s="4" t="s">
        <v>100</v>
      </c>
      <c r="F10" s="4" t="s">
        <v>100</v>
      </c>
      <c r="G10" s="4" t="n">
        <v>1</v>
      </c>
      <c r="H10" s="4" t="s">
        <v>60</v>
      </c>
      <c r="I10" s="4" t="s">
        <v>24</v>
      </c>
      <c r="J10" s="4" t="s">
        <v>20</v>
      </c>
      <c r="K10" s="4" t="s">
        <v>35</v>
      </c>
      <c r="L10" s="7" t="s">
        <v>8</v>
      </c>
      <c r="M10" s="4" t="s">
        <v>101</v>
      </c>
      <c r="N10" s="4" t="s">
        <v>102</v>
      </c>
    </row>
    <row r="11" customFormat="false" ht="23.25" hidden="false" customHeight="true" outlineLevel="0" collapsed="false">
      <c r="A11" s="4" t="n">
        <v>34</v>
      </c>
      <c r="B11" s="4" t="s">
        <v>103</v>
      </c>
      <c r="C11" s="4" t="n">
        <v>10</v>
      </c>
      <c r="D11" s="4" t="s">
        <v>104</v>
      </c>
      <c r="E11" s="4" t="s">
        <v>105</v>
      </c>
      <c r="F11" s="4" t="s">
        <v>105</v>
      </c>
      <c r="G11" s="4" t="n">
        <v>0.99</v>
      </c>
      <c r="H11" s="4" t="s">
        <v>60</v>
      </c>
      <c r="I11" s="4" t="s">
        <v>24</v>
      </c>
      <c r="J11" s="4" t="s">
        <v>20</v>
      </c>
      <c r="K11" s="4" t="s">
        <v>35</v>
      </c>
      <c r="L11" s="7" t="s">
        <v>8</v>
      </c>
      <c r="M11" s="4" t="s">
        <v>106</v>
      </c>
      <c r="N11" s="4" t="s">
        <v>107</v>
      </c>
    </row>
    <row r="12" customFormat="false" ht="23.25" hidden="false" customHeight="true" outlineLevel="0" collapsed="false">
      <c r="A12" s="4" t="n">
        <v>35</v>
      </c>
      <c r="B12" s="4" t="s">
        <v>108</v>
      </c>
      <c r="C12" s="4" t="n">
        <v>10</v>
      </c>
      <c r="D12" s="4" t="s">
        <v>109</v>
      </c>
      <c r="E12" s="4" t="s">
        <v>110</v>
      </c>
      <c r="F12" s="4" t="s">
        <v>111</v>
      </c>
      <c r="G12" s="4" t="n">
        <v>0.99</v>
      </c>
      <c r="H12" s="4" t="s">
        <v>60</v>
      </c>
      <c r="I12" s="4" t="s">
        <v>24</v>
      </c>
      <c r="J12" s="4" t="s">
        <v>20</v>
      </c>
      <c r="K12" s="4" t="s">
        <v>35</v>
      </c>
      <c r="L12" s="7" t="s">
        <v>8</v>
      </c>
      <c r="M12" s="4" t="s">
        <v>112</v>
      </c>
      <c r="N12" s="4" t="s">
        <v>113</v>
      </c>
    </row>
    <row r="13" customFormat="false" ht="23.25" hidden="false" customHeight="true" outlineLevel="0" collapsed="false">
      <c r="A13" s="4" t="n">
        <v>58</v>
      </c>
      <c r="B13" s="4" t="s">
        <v>114</v>
      </c>
      <c r="C13" s="4" t="n">
        <v>10</v>
      </c>
      <c r="D13" s="4" t="s">
        <v>115</v>
      </c>
      <c r="E13" s="4" t="s">
        <v>116</v>
      </c>
      <c r="F13" s="4" t="s">
        <v>116</v>
      </c>
      <c r="G13" s="4" t="n">
        <v>0.98</v>
      </c>
      <c r="H13" s="4" t="s">
        <v>60</v>
      </c>
      <c r="I13" s="4" t="s">
        <v>25</v>
      </c>
      <c r="J13" s="4" t="s">
        <v>20</v>
      </c>
      <c r="K13" s="4" t="s">
        <v>35</v>
      </c>
      <c r="L13" s="7" t="s">
        <v>8</v>
      </c>
      <c r="M13" s="4" t="s">
        <v>117</v>
      </c>
      <c r="N13" s="4" t="s">
        <v>118</v>
      </c>
    </row>
    <row r="14" customFormat="false" ht="45.75" hidden="false" customHeight="true" outlineLevel="0" collapsed="false">
      <c r="A14" s="4" t="n">
        <v>67</v>
      </c>
      <c r="B14" s="4" t="s">
        <v>119</v>
      </c>
      <c r="C14" s="4" t="n">
        <v>10</v>
      </c>
      <c r="D14" s="4" t="s">
        <v>120</v>
      </c>
      <c r="E14" s="4" t="s">
        <v>121</v>
      </c>
      <c r="F14" s="4" t="s">
        <v>122</v>
      </c>
      <c r="G14" s="4" t="n">
        <v>0.98</v>
      </c>
      <c r="H14" s="4" t="s">
        <v>60</v>
      </c>
      <c r="I14" s="4" t="s">
        <v>24</v>
      </c>
      <c r="J14" s="4" t="s">
        <v>20</v>
      </c>
      <c r="K14" s="4" t="s">
        <v>35</v>
      </c>
      <c r="L14" s="7" t="s">
        <v>8</v>
      </c>
      <c r="M14" s="4" t="s">
        <v>123</v>
      </c>
      <c r="N14" s="4" t="s">
        <v>124</v>
      </c>
    </row>
    <row r="15" customFormat="false" ht="57" hidden="false" customHeight="true" outlineLevel="0" collapsed="false">
      <c r="A15" s="4" t="n">
        <v>78</v>
      </c>
      <c r="B15" s="4" t="s">
        <v>125</v>
      </c>
      <c r="C15" s="4" t="n">
        <v>10</v>
      </c>
      <c r="D15" s="4" t="s">
        <v>126</v>
      </c>
      <c r="E15" s="4" t="s">
        <v>127</v>
      </c>
      <c r="F15" s="4" t="s">
        <v>128</v>
      </c>
      <c r="G15" s="4" t="n">
        <v>0.98</v>
      </c>
      <c r="H15" s="4" t="s">
        <v>129</v>
      </c>
      <c r="I15" s="4" t="s">
        <v>24</v>
      </c>
      <c r="J15" s="4" t="s">
        <v>20</v>
      </c>
      <c r="K15" s="4" t="s">
        <v>35</v>
      </c>
      <c r="L15" s="7" t="s">
        <v>8</v>
      </c>
      <c r="M15" s="4" t="s">
        <v>51</v>
      </c>
      <c r="N15" s="4" t="s">
        <v>130</v>
      </c>
    </row>
    <row r="16" customFormat="false" ht="23.25" hidden="false" customHeight="true" outlineLevel="0" collapsed="false">
      <c r="A16" s="4" t="n">
        <v>90</v>
      </c>
      <c r="B16" s="4" t="s">
        <v>131</v>
      </c>
      <c r="C16" s="4" t="n">
        <v>10</v>
      </c>
      <c r="D16" s="4" t="s">
        <v>132</v>
      </c>
      <c r="E16" s="4" t="s">
        <v>133</v>
      </c>
      <c r="F16" s="4" t="s">
        <v>133</v>
      </c>
      <c r="G16" s="4" t="n">
        <v>0.97</v>
      </c>
      <c r="H16" s="4" t="s">
        <v>60</v>
      </c>
      <c r="I16" s="4" t="s">
        <v>24</v>
      </c>
      <c r="J16" s="4" t="s">
        <v>20</v>
      </c>
      <c r="K16" s="4" t="s">
        <v>35</v>
      </c>
      <c r="L16" s="7" t="s">
        <v>8</v>
      </c>
      <c r="M16" s="4" t="s">
        <v>106</v>
      </c>
      <c r="N16" s="4" t="s">
        <v>134</v>
      </c>
    </row>
    <row r="17" customFormat="false" ht="23.25" hidden="false" customHeight="true" outlineLevel="0" collapsed="false">
      <c r="A17" s="4" t="n">
        <v>91</v>
      </c>
      <c r="B17" s="4" t="s">
        <v>135</v>
      </c>
      <c r="C17" s="4" t="n">
        <v>10</v>
      </c>
      <c r="D17" s="4" t="s">
        <v>132</v>
      </c>
      <c r="E17" s="4" t="s">
        <v>136</v>
      </c>
      <c r="F17" s="4" t="s">
        <v>136</v>
      </c>
      <c r="G17" s="4" t="n">
        <v>0.97</v>
      </c>
      <c r="H17" s="4" t="s">
        <v>137</v>
      </c>
      <c r="I17" s="4" t="s">
        <v>24</v>
      </c>
      <c r="J17" s="4" t="s">
        <v>20</v>
      </c>
      <c r="K17" s="4" t="s">
        <v>35</v>
      </c>
      <c r="L17" s="7" t="s">
        <v>8</v>
      </c>
      <c r="M17" s="4" t="s">
        <v>92</v>
      </c>
      <c r="N17" s="4" t="s">
        <v>138</v>
      </c>
    </row>
    <row r="18" customFormat="false" ht="45.75" hidden="false" customHeight="true" outlineLevel="0" collapsed="false">
      <c r="A18" s="4" t="n">
        <v>110</v>
      </c>
      <c r="B18" s="4" t="s">
        <v>139</v>
      </c>
      <c r="C18" s="4" t="n">
        <v>10</v>
      </c>
      <c r="D18" s="4" t="s">
        <v>140</v>
      </c>
      <c r="E18" s="4" t="s">
        <v>141</v>
      </c>
      <c r="F18" s="4" t="s">
        <v>141</v>
      </c>
      <c r="G18" s="4" t="n">
        <v>0.97</v>
      </c>
      <c r="H18" s="4" t="s">
        <v>60</v>
      </c>
      <c r="I18" s="4" t="s">
        <v>24</v>
      </c>
      <c r="J18" s="4" t="s">
        <v>20</v>
      </c>
      <c r="K18" s="4" t="s">
        <v>35</v>
      </c>
      <c r="L18" s="7" t="s">
        <v>8</v>
      </c>
      <c r="M18" s="4" t="s">
        <v>142</v>
      </c>
      <c r="N18" s="4" t="s">
        <v>143</v>
      </c>
    </row>
    <row r="19" customFormat="false" ht="34.5" hidden="false" customHeight="true" outlineLevel="0" collapsed="false">
      <c r="A19" s="4" t="n">
        <v>114</v>
      </c>
      <c r="B19" s="4" t="s">
        <v>144</v>
      </c>
      <c r="C19" s="4" t="n">
        <v>10</v>
      </c>
      <c r="D19" s="4" t="s">
        <v>126</v>
      </c>
      <c r="E19" s="4" t="s">
        <v>145</v>
      </c>
      <c r="F19" s="4" t="s">
        <v>145</v>
      </c>
      <c r="G19" s="4" t="n">
        <v>0.97</v>
      </c>
      <c r="H19" s="4" t="s">
        <v>146</v>
      </c>
      <c r="I19" s="4" t="s">
        <v>24</v>
      </c>
      <c r="J19" s="4" t="s">
        <v>20</v>
      </c>
      <c r="K19" s="4" t="s">
        <v>35</v>
      </c>
      <c r="L19" s="7" t="s">
        <v>8</v>
      </c>
      <c r="M19" s="4" t="s">
        <v>51</v>
      </c>
      <c r="N19" s="4" t="s">
        <v>130</v>
      </c>
    </row>
    <row r="20" customFormat="false" ht="34.5" hidden="false" customHeight="true" outlineLevel="0" collapsed="false">
      <c r="A20" s="4" t="n">
        <v>115</v>
      </c>
      <c r="B20" s="4" t="s">
        <v>147</v>
      </c>
      <c r="C20" s="4" t="n">
        <v>10</v>
      </c>
      <c r="D20" s="4" t="s">
        <v>140</v>
      </c>
      <c r="E20" s="4" t="s">
        <v>148</v>
      </c>
      <c r="F20" s="4" t="s">
        <v>148</v>
      </c>
      <c r="G20" s="4" t="n">
        <v>0.97</v>
      </c>
      <c r="H20" s="4" t="s">
        <v>60</v>
      </c>
      <c r="I20" s="4" t="s">
        <v>24</v>
      </c>
      <c r="J20" s="4" t="s">
        <v>20</v>
      </c>
      <c r="K20" s="4" t="s">
        <v>35</v>
      </c>
      <c r="L20" s="7" t="s">
        <v>8</v>
      </c>
      <c r="M20" s="4" t="s">
        <v>142</v>
      </c>
      <c r="N20" s="4" t="s">
        <v>143</v>
      </c>
    </row>
    <row r="21" customFormat="false" ht="23.25" hidden="false" customHeight="true" outlineLevel="0" collapsed="false">
      <c r="A21" s="4" t="n">
        <v>122</v>
      </c>
      <c r="B21" s="4" t="s">
        <v>149</v>
      </c>
      <c r="C21" s="4" t="n">
        <v>10</v>
      </c>
      <c r="D21" s="4" t="s">
        <v>150</v>
      </c>
      <c r="E21" s="4" t="s">
        <v>151</v>
      </c>
      <c r="F21" s="4" t="s">
        <v>151</v>
      </c>
      <c r="G21" s="4" t="n">
        <v>0.97</v>
      </c>
      <c r="H21" s="4" t="s">
        <v>152</v>
      </c>
      <c r="I21" s="4" t="s">
        <v>24</v>
      </c>
      <c r="J21" s="4" t="s">
        <v>20</v>
      </c>
      <c r="K21" s="4" t="s">
        <v>35</v>
      </c>
      <c r="L21" s="7" t="s">
        <v>8</v>
      </c>
      <c r="M21" s="4" t="s">
        <v>153</v>
      </c>
      <c r="N21" s="4" t="s">
        <v>154</v>
      </c>
    </row>
    <row r="22" customFormat="false" ht="102" hidden="false" customHeight="true" outlineLevel="0" collapsed="false">
      <c r="A22" s="4" t="n">
        <v>124</v>
      </c>
      <c r="B22" s="4" t="s">
        <v>155</v>
      </c>
      <c r="C22" s="4" t="n">
        <v>10</v>
      </c>
      <c r="D22" s="4" t="s">
        <v>156</v>
      </c>
      <c r="E22" s="4" t="s">
        <v>157</v>
      </c>
      <c r="F22" s="4" t="s">
        <v>158</v>
      </c>
      <c r="G22" s="4" t="n">
        <v>0.97</v>
      </c>
      <c r="H22" s="4" t="s">
        <v>159</v>
      </c>
      <c r="I22" s="4" t="s">
        <v>24</v>
      </c>
      <c r="J22" s="4" t="s">
        <v>20</v>
      </c>
      <c r="K22" s="4" t="s">
        <v>35</v>
      </c>
      <c r="L22" s="7" t="s">
        <v>8</v>
      </c>
      <c r="M22" s="4" t="s">
        <v>92</v>
      </c>
      <c r="N22" s="4" t="s">
        <v>160</v>
      </c>
    </row>
    <row r="23" customFormat="false" ht="79.5" hidden="false" customHeight="true" outlineLevel="0" collapsed="false">
      <c r="A23" s="4" t="n">
        <v>126</v>
      </c>
      <c r="B23" s="4" t="s">
        <v>161</v>
      </c>
      <c r="C23" s="4" t="n">
        <v>10</v>
      </c>
      <c r="D23" s="4" t="s">
        <v>156</v>
      </c>
      <c r="E23" s="4" t="s">
        <v>162</v>
      </c>
      <c r="F23" s="4" t="s">
        <v>163</v>
      </c>
      <c r="G23" s="4" t="n">
        <v>0.97</v>
      </c>
      <c r="H23" s="4" t="s">
        <v>164</v>
      </c>
      <c r="I23" s="4" t="s">
        <v>24</v>
      </c>
      <c r="J23" s="4" t="s">
        <v>20</v>
      </c>
      <c r="K23" s="4" t="s">
        <v>35</v>
      </c>
      <c r="L23" s="7" t="s">
        <v>8</v>
      </c>
      <c r="M23" s="4" t="s">
        <v>92</v>
      </c>
      <c r="N23" s="4" t="s">
        <v>160</v>
      </c>
    </row>
    <row r="24" customFormat="false" ht="23.25" hidden="false" customHeight="true" outlineLevel="0" collapsed="false">
      <c r="A24" s="4" t="n">
        <v>127</v>
      </c>
      <c r="B24" s="4" t="s">
        <v>165</v>
      </c>
      <c r="C24" s="4" t="n">
        <v>10</v>
      </c>
      <c r="D24" s="4" t="s">
        <v>64</v>
      </c>
      <c r="E24" s="4" t="s">
        <v>166</v>
      </c>
      <c r="F24" s="4" t="s">
        <v>167</v>
      </c>
      <c r="G24" s="4" t="n">
        <v>0.97</v>
      </c>
      <c r="H24" s="4" t="s">
        <v>60</v>
      </c>
      <c r="I24" s="4" t="s">
        <v>24</v>
      </c>
      <c r="J24" s="4" t="s">
        <v>20</v>
      </c>
      <c r="K24" s="4" t="s">
        <v>35</v>
      </c>
      <c r="L24" s="7" t="s">
        <v>8</v>
      </c>
      <c r="M24" s="4" t="s">
        <v>168</v>
      </c>
      <c r="N24" s="4" t="s">
        <v>169</v>
      </c>
    </row>
    <row r="25" customFormat="false" ht="45.75" hidden="false" customHeight="true" outlineLevel="0" collapsed="false">
      <c r="A25" s="4" t="n">
        <v>135</v>
      </c>
      <c r="B25" s="4" t="s">
        <v>170</v>
      </c>
      <c r="C25" s="4" t="n">
        <v>10</v>
      </c>
      <c r="D25" s="4" t="s">
        <v>156</v>
      </c>
      <c r="E25" s="4" t="s">
        <v>171</v>
      </c>
      <c r="F25" s="4" t="s">
        <v>172</v>
      </c>
      <c r="G25" s="4" t="n">
        <v>0.95</v>
      </c>
      <c r="H25" s="4" t="s">
        <v>173</v>
      </c>
      <c r="I25" s="4" t="s">
        <v>24</v>
      </c>
      <c r="J25" s="4" t="s">
        <v>20</v>
      </c>
      <c r="K25" s="4" t="s">
        <v>35</v>
      </c>
      <c r="L25" s="7" t="s">
        <v>8</v>
      </c>
      <c r="M25" s="4" t="s">
        <v>174</v>
      </c>
      <c r="N25" s="4" t="s">
        <v>175</v>
      </c>
    </row>
    <row r="26" customFormat="false" ht="45.75" hidden="false" customHeight="true" outlineLevel="0" collapsed="false">
      <c r="A26" s="4" t="n">
        <v>136</v>
      </c>
      <c r="B26" s="4" t="s">
        <v>176</v>
      </c>
      <c r="C26" s="4" t="n">
        <v>10</v>
      </c>
      <c r="D26" s="4" t="s">
        <v>156</v>
      </c>
      <c r="E26" s="4" t="s">
        <v>177</v>
      </c>
      <c r="F26" s="4" t="s">
        <v>172</v>
      </c>
      <c r="G26" s="4" t="n">
        <v>0.95</v>
      </c>
      <c r="H26" s="4" t="s">
        <v>178</v>
      </c>
      <c r="I26" s="4" t="s">
        <v>24</v>
      </c>
      <c r="J26" s="4" t="s">
        <v>20</v>
      </c>
      <c r="K26" s="4" t="s">
        <v>35</v>
      </c>
      <c r="L26" s="7" t="s">
        <v>8</v>
      </c>
      <c r="M26" s="4" t="s">
        <v>174</v>
      </c>
      <c r="N26" s="4" t="s">
        <v>175</v>
      </c>
    </row>
    <row r="27" customFormat="false" ht="34.5" hidden="false" customHeight="true" outlineLevel="0" collapsed="false">
      <c r="A27" s="4" t="n">
        <v>147</v>
      </c>
      <c r="B27" s="4" t="s">
        <v>179</v>
      </c>
      <c r="C27" s="4" t="n">
        <v>10</v>
      </c>
      <c r="D27" s="4" t="s">
        <v>180</v>
      </c>
      <c r="E27" s="4" t="s">
        <v>181</v>
      </c>
      <c r="F27" s="4" t="s">
        <v>181</v>
      </c>
      <c r="G27" s="4" t="n">
        <v>0.93</v>
      </c>
      <c r="H27" s="4" t="s">
        <v>60</v>
      </c>
      <c r="I27" s="4" t="s">
        <v>24</v>
      </c>
      <c r="J27" s="4" t="s">
        <v>20</v>
      </c>
      <c r="K27" s="4" t="s">
        <v>35</v>
      </c>
      <c r="L27" s="7" t="s">
        <v>8</v>
      </c>
      <c r="M27" s="4" t="s">
        <v>182</v>
      </c>
      <c r="N27" s="4" t="s">
        <v>183</v>
      </c>
    </row>
    <row r="28" customFormat="false" ht="23.25" hidden="false" customHeight="true" outlineLevel="0" collapsed="false">
      <c r="A28" s="4" t="n">
        <v>153</v>
      </c>
      <c r="B28" s="4" t="s">
        <v>184</v>
      </c>
      <c r="C28" s="4" t="n">
        <v>10</v>
      </c>
      <c r="D28" s="4" t="s">
        <v>185</v>
      </c>
      <c r="E28" s="4" t="s">
        <v>186</v>
      </c>
      <c r="F28" s="4" t="s">
        <v>187</v>
      </c>
      <c r="G28" s="4" t="n">
        <v>0.9</v>
      </c>
      <c r="H28" s="4" t="s">
        <v>60</v>
      </c>
      <c r="I28" s="4" t="s">
        <v>24</v>
      </c>
      <c r="J28" s="4" t="s">
        <v>20</v>
      </c>
      <c r="K28" s="4" t="s">
        <v>35</v>
      </c>
      <c r="L28" s="7" t="s">
        <v>8</v>
      </c>
      <c r="M28" s="4" t="s">
        <v>188</v>
      </c>
      <c r="N28" s="4" t="s">
        <v>189</v>
      </c>
    </row>
    <row r="29" customFormat="false" ht="34.5" hidden="false" customHeight="true" outlineLevel="0" collapsed="false">
      <c r="A29" s="4" t="n">
        <v>13</v>
      </c>
      <c r="B29" s="4" t="s">
        <v>190</v>
      </c>
      <c r="C29" s="4" t="n">
        <v>13</v>
      </c>
      <c r="D29" s="4" t="s">
        <v>191</v>
      </c>
      <c r="E29" s="4" t="s">
        <v>192</v>
      </c>
      <c r="F29" s="4" t="s">
        <v>193</v>
      </c>
      <c r="G29" s="4" t="n">
        <v>1</v>
      </c>
      <c r="H29" s="4" t="s">
        <v>194</v>
      </c>
      <c r="I29" s="4" t="s">
        <v>24</v>
      </c>
      <c r="J29" s="4" t="s">
        <v>20</v>
      </c>
      <c r="K29" s="4" t="s">
        <v>35</v>
      </c>
      <c r="L29" s="7" t="s">
        <v>8</v>
      </c>
      <c r="M29" s="4" t="s">
        <v>195</v>
      </c>
      <c r="N29" s="4" t="s">
        <v>196</v>
      </c>
    </row>
    <row r="30" customFormat="false" ht="23.25" hidden="false" customHeight="true" outlineLevel="0" collapsed="false">
      <c r="A30" s="4" t="n">
        <v>15</v>
      </c>
      <c r="B30" s="4" t="s">
        <v>197</v>
      </c>
      <c r="C30" s="4" t="n">
        <v>13</v>
      </c>
      <c r="D30" s="4" t="s">
        <v>191</v>
      </c>
      <c r="E30" s="4" t="s">
        <v>198</v>
      </c>
      <c r="F30" s="4" t="s">
        <v>199</v>
      </c>
      <c r="G30" s="4" t="n">
        <v>1</v>
      </c>
      <c r="H30" s="4" t="s">
        <v>200</v>
      </c>
      <c r="I30" s="4" t="s">
        <v>24</v>
      </c>
      <c r="J30" s="4" t="s">
        <v>20</v>
      </c>
      <c r="K30" s="4" t="s">
        <v>35</v>
      </c>
      <c r="L30" s="7" t="s">
        <v>8</v>
      </c>
      <c r="M30" s="4" t="s">
        <v>195</v>
      </c>
      <c r="N30" s="4" t="s">
        <v>196</v>
      </c>
    </row>
    <row r="31" customFormat="false" ht="45.75" hidden="false" customHeight="true" outlineLevel="0" collapsed="false">
      <c r="A31" s="4" t="n">
        <v>39</v>
      </c>
      <c r="B31" s="4" t="s">
        <v>201</v>
      </c>
      <c r="C31" s="4" t="n">
        <v>13</v>
      </c>
      <c r="D31" s="4" t="s">
        <v>180</v>
      </c>
      <c r="E31" s="4" t="s">
        <v>202</v>
      </c>
      <c r="F31" s="4" t="s">
        <v>203</v>
      </c>
      <c r="G31" s="4" t="n">
        <v>0.99</v>
      </c>
      <c r="H31" s="4" t="s">
        <v>60</v>
      </c>
      <c r="I31" s="4" t="s">
        <v>24</v>
      </c>
      <c r="J31" s="4" t="s">
        <v>20</v>
      </c>
      <c r="K31" s="4" t="s">
        <v>35</v>
      </c>
      <c r="L31" s="7" t="s">
        <v>8</v>
      </c>
      <c r="M31" s="4" t="s">
        <v>204</v>
      </c>
      <c r="N31" s="4" t="s">
        <v>205</v>
      </c>
    </row>
    <row r="32" customFormat="false" ht="23.25" hidden="false" customHeight="true" outlineLevel="0" collapsed="false">
      <c r="A32" s="4" t="n">
        <v>41</v>
      </c>
      <c r="B32" s="4" t="s">
        <v>206</v>
      </c>
      <c r="C32" s="4" t="n">
        <v>13</v>
      </c>
      <c r="D32" s="4" t="s">
        <v>180</v>
      </c>
      <c r="E32" s="4" t="s">
        <v>207</v>
      </c>
      <c r="F32" s="4" t="s">
        <v>208</v>
      </c>
      <c r="G32" s="4" t="n">
        <v>0.99</v>
      </c>
      <c r="H32" s="4" t="s">
        <v>60</v>
      </c>
      <c r="I32" s="4" t="s">
        <v>24</v>
      </c>
      <c r="J32" s="4" t="s">
        <v>20</v>
      </c>
      <c r="K32" s="4" t="s">
        <v>35</v>
      </c>
      <c r="L32" s="7" t="s">
        <v>8</v>
      </c>
      <c r="M32" s="4" t="s">
        <v>209</v>
      </c>
      <c r="N32" s="4" t="s">
        <v>210</v>
      </c>
    </row>
    <row r="33" customFormat="false" ht="34.5" hidden="false" customHeight="true" outlineLevel="0" collapsed="false">
      <c r="A33" s="4" t="n">
        <v>29</v>
      </c>
      <c r="B33" s="4" t="s">
        <v>211</v>
      </c>
      <c r="C33" s="4" t="n">
        <v>14</v>
      </c>
      <c r="D33" s="4" t="s">
        <v>212</v>
      </c>
      <c r="E33" s="4" t="s">
        <v>213</v>
      </c>
      <c r="F33" s="4" t="s">
        <v>213</v>
      </c>
      <c r="G33" s="4" t="n">
        <v>0.99</v>
      </c>
      <c r="H33" s="4" t="s">
        <v>60</v>
      </c>
      <c r="I33" s="4" t="s">
        <v>24</v>
      </c>
      <c r="J33" s="4" t="s">
        <v>20</v>
      </c>
      <c r="K33" s="4" t="s">
        <v>35</v>
      </c>
      <c r="L33" s="7" t="s">
        <v>8</v>
      </c>
      <c r="M33" s="4" t="s">
        <v>92</v>
      </c>
      <c r="N33" s="4" t="s">
        <v>214</v>
      </c>
    </row>
    <row r="34" customFormat="false" ht="23.25" hidden="false" customHeight="true" outlineLevel="0" collapsed="false">
      <c r="A34" s="4" t="n">
        <v>45</v>
      </c>
      <c r="B34" s="4" t="s">
        <v>215</v>
      </c>
      <c r="C34" s="4" t="n">
        <v>14</v>
      </c>
      <c r="D34" s="4" t="s">
        <v>216</v>
      </c>
      <c r="E34" s="4" t="s">
        <v>217</v>
      </c>
      <c r="F34" s="4" t="s">
        <v>217</v>
      </c>
      <c r="G34" s="4" t="n">
        <v>0.99</v>
      </c>
      <c r="H34" s="4" t="s">
        <v>60</v>
      </c>
      <c r="I34" s="4" t="s">
        <v>24</v>
      </c>
      <c r="J34" s="4" t="s">
        <v>20</v>
      </c>
      <c r="K34" s="4" t="s">
        <v>35</v>
      </c>
      <c r="L34" s="7" t="s">
        <v>8</v>
      </c>
      <c r="M34" s="4" t="s">
        <v>218</v>
      </c>
      <c r="N34" s="4" t="s">
        <v>219</v>
      </c>
    </row>
    <row r="35" customFormat="false" ht="34.5" hidden="false" customHeight="true" outlineLevel="0" collapsed="false">
      <c r="A35" s="4" t="n">
        <v>46</v>
      </c>
      <c r="B35" s="4" t="s">
        <v>220</v>
      </c>
      <c r="C35" s="4" t="n">
        <v>14</v>
      </c>
      <c r="D35" s="4" t="s">
        <v>221</v>
      </c>
      <c r="E35" s="4" t="s">
        <v>222</v>
      </c>
      <c r="F35" s="4" t="s">
        <v>223</v>
      </c>
      <c r="G35" s="4" t="n">
        <v>0.99</v>
      </c>
      <c r="H35" s="4" t="s">
        <v>60</v>
      </c>
      <c r="I35" s="4" t="s">
        <v>24</v>
      </c>
      <c r="J35" s="4" t="s">
        <v>20</v>
      </c>
      <c r="K35" s="4" t="s">
        <v>35</v>
      </c>
      <c r="L35" s="7" t="s">
        <v>8</v>
      </c>
      <c r="M35" s="4" t="s">
        <v>224</v>
      </c>
      <c r="N35" s="4" t="s">
        <v>225</v>
      </c>
    </row>
    <row r="36" customFormat="false" ht="34.5" hidden="false" customHeight="true" outlineLevel="0" collapsed="false">
      <c r="A36" s="4" t="n">
        <v>48</v>
      </c>
      <c r="B36" s="4" t="s">
        <v>226</v>
      </c>
      <c r="C36" s="4" t="n">
        <v>14</v>
      </c>
      <c r="D36" s="4" t="s">
        <v>227</v>
      </c>
      <c r="E36" s="4" t="s">
        <v>228</v>
      </c>
      <c r="F36" s="4" t="s">
        <v>229</v>
      </c>
      <c r="G36" s="4" t="n">
        <v>0.99</v>
      </c>
      <c r="H36" s="4" t="s">
        <v>60</v>
      </c>
      <c r="I36" s="4" t="s">
        <v>24</v>
      </c>
      <c r="J36" s="4" t="s">
        <v>20</v>
      </c>
      <c r="K36" s="4" t="s">
        <v>35</v>
      </c>
      <c r="L36" s="7" t="s">
        <v>8</v>
      </c>
      <c r="M36" s="4" t="s">
        <v>230</v>
      </c>
      <c r="N36" s="4" t="s">
        <v>231</v>
      </c>
    </row>
    <row r="37" customFormat="false" ht="34.5" hidden="false" customHeight="true" outlineLevel="0" collapsed="false">
      <c r="A37" s="4" t="n">
        <v>49</v>
      </c>
      <c r="B37" s="4" t="s">
        <v>232</v>
      </c>
      <c r="C37" s="4" t="n">
        <v>14</v>
      </c>
      <c r="D37" s="4" t="s">
        <v>233</v>
      </c>
      <c r="E37" s="4" t="s">
        <v>234</v>
      </c>
      <c r="F37" s="4" t="s">
        <v>235</v>
      </c>
      <c r="G37" s="4" t="n">
        <v>0.99</v>
      </c>
      <c r="H37" s="4" t="s">
        <v>60</v>
      </c>
      <c r="I37" s="4" t="s">
        <v>24</v>
      </c>
      <c r="J37" s="4" t="s">
        <v>20</v>
      </c>
      <c r="K37" s="4" t="s">
        <v>35</v>
      </c>
      <c r="L37" s="7" t="s">
        <v>8</v>
      </c>
      <c r="M37" s="4" t="s">
        <v>236</v>
      </c>
      <c r="N37" s="4" t="s">
        <v>237</v>
      </c>
    </row>
    <row r="38" customFormat="false" ht="23.25" hidden="false" customHeight="true" outlineLevel="0" collapsed="false">
      <c r="A38" s="4" t="n">
        <v>53</v>
      </c>
      <c r="B38" s="4" t="s">
        <v>238</v>
      </c>
      <c r="C38" s="4" t="n">
        <v>14</v>
      </c>
      <c r="D38" s="4" t="s">
        <v>233</v>
      </c>
      <c r="E38" s="4" t="s">
        <v>239</v>
      </c>
      <c r="F38" s="4" t="s">
        <v>240</v>
      </c>
      <c r="G38" s="4" t="n">
        <v>0.99</v>
      </c>
      <c r="H38" s="4" t="s">
        <v>60</v>
      </c>
      <c r="I38" s="4" t="s">
        <v>24</v>
      </c>
      <c r="J38" s="4" t="s">
        <v>20</v>
      </c>
      <c r="K38" s="4" t="s">
        <v>35</v>
      </c>
      <c r="L38" s="7" t="s">
        <v>8</v>
      </c>
      <c r="M38" s="4" t="s">
        <v>236</v>
      </c>
      <c r="N38" s="4" t="s">
        <v>237</v>
      </c>
    </row>
    <row r="39" customFormat="false" ht="23.25" hidden="false" customHeight="true" outlineLevel="0" collapsed="false">
      <c r="A39" s="4" t="n">
        <v>59</v>
      </c>
      <c r="B39" s="4" t="s">
        <v>241</v>
      </c>
      <c r="C39" s="4" t="n">
        <v>14</v>
      </c>
      <c r="D39" s="4" t="s">
        <v>233</v>
      </c>
      <c r="E39" s="4" t="s">
        <v>242</v>
      </c>
      <c r="F39" s="4" t="s">
        <v>243</v>
      </c>
      <c r="G39" s="4" t="n">
        <v>0.98</v>
      </c>
      <c r="H39" s="4" t="s">
        <v>60</v>
      </c>
      <c r="I39" s="4" t="s">
        <v>24</v>
      </c>
      <c r="J39" s="4" t="s">
        <v>20</v>
      </c>
      <c r="K39" s="4" t="s">
        <v>35</v>
      </c>
      <c r="L39" s="7" t="s">
        <v>8</v>
      </c>
      <c r="M39" s="4" t="s">
        <v>244</v>
      </c>
      <c r="N39" s="4" t="s">
        <v>245</v>
      </c>
    </row>
    <row r="40" customFormat="false" ht="68.25" hidden="false" customHeight="true" outlineLevel="0" collapsed="false">
      <c r="A40" s="4" t="n">
        <v>63</v>
      </c>
      <c r="B40" s="4" t="s">
        <v>246</v>
      </c>
      <c r="C40" s="4" t="n">
        <v>14</v>
      </c>
      <c r="D40" s="4" t="s">
        <v>247</v>
      </c>
      <c r="E40" s="4" t="s">
        <v>248</v>
      </c>
      <c r="F40" s="4" t="s">
        <v>249</v>
      </c>
      <c r="G40" s="4" t="n">
        <v>0.98</v>
      </c>
      <c r="H40" s="4" t="s">
        <v>60</v>
      </c>
      <c r="I40" s="4" t="s">
        <v>24</v>
      </c>
      <c r="J40" s="4" t="s">
        <v>20</v>
      </c>
      <c r="K40" s="4" t="s">
        <v>35</v>
      </c>
      <c r="L40" s="7" t="s">
        <v>8</v>
      </c>
      <c r="M40" s="4" t="s">
        <v>236</v>
      </c>
      <c r="N40" s="4" t="s">
        <v>237</v>
      </c>
    </row>
    <row r="41" customFormat="false" ht="34.5" hidden="false" customHeight="true" outlineLevel="0" collapsed="false">
      <c r="A41" s="4" t="n">
        <v>96</v>
      </c>
      <c r="B41" s="4" t="s">
        <v>250</v>
      </c>
      <c r="C41" s="4" t="n">
        <v>14</v>
      </c>
      <c r="D41" s="4" t="s">
        <v>227</v>
      </c>
      <c r="E41" s="4" t="s">
        <v>251</v>
      </c>
      <c r="F41" s="4" t="s">
        <v>251</v>
      </c>
      <c r="G41" s="4" t="n">
        <v>0.97</v>
      </c>
      <c r="H41" s="4" t="s">
        <v>60</v>
      </c>
      <c r="I41" s="4" t="s">
        <v>24</v>
      </c>
      <c r="J41" s="4" t="s">
        <v>20</v>
      </c>
      <c r="K41" s="4" t="s">
        <v>35</v>
      </c>
      <c r="L41" s="7" t="s">
        <v>8</v>
      </c>
      <c r="M41" s="4" t="s">
        <v>252</v>
      </c>
      <c r="N41" s="4" t="s">
        <v>253</v>
      </c>
    </row>
    <row r="42" customFormat="false" ht="79.5" hidden="false" customHeight="true" outlineLevel="0" collapsed="false">
      <c r="A42" s="4" t="n">
        <v>97</v>
      </c>
      <c r="B42" s="4" t="s">
        <v>254</v>
      </c>
      <c r="C42" s="4" t="n">
        <v>14</v>
      </c>
      <c r="D42" s="4" t="s">
        <v>233</v>
      </c>
      <c r="E42" s="4" t="s">
        <v>255</v>
      </c>
      <c r="F42" s="4" t="s">
        <v>256</v>
      </c>
      <c r="G42" s="4" t="n">
        <v>0.97</v>
      </c>
      <c r="H42" s="4" t="s">
        <v>60</v>
      </c>
      <c r="I42" s="4" t="s">
        <v>24</v>
      </c>
      <c r="J42" s="4" t="s">
        <v>20</v>
      </c>
      <c r="K42" s="4" t="s">
        <v>35</v>
      </c>
      <c r="L42" s="7" t="s">
        <v>8</v>
      </c>
      <c r="M42" s="4" t="s">
        <v>209</v>
      </c>
      <c r="N42" s="4" t="s">
        <v>257</v>
      </c>
    </row>
    <row r="43" customFormat="false" ht="23.25" hidden="false" customHeight="true" outlineLevel="0" collapsed="false">
      <c r="A43" s="4" t="n">
        <v>98</v>
      </c>
      <c r="B43" s="4" t="s">
        <v>258</v>
      </c>
      <c r="C43" s="4" t="n">
        <v>14</v>
      </c>
      <c r="D43" s="4" t="s">
        <v>259</v>
      </c>
      <c r="E43" s="4" t="s">
        <v>260</v>
      </c>
      <c r="F43" s="4" t="s">
        <v>260</v>
      </c>
      <c r="G43" s="4" t="n">
        <v>0.97</v>
      </c>
      <c r="H43" s="4" t="s">
        <v>60</v>
      </c>
      <c r="I43" s="4" t="s">
        <v>24</v>
      </c>
      <c r="J43" s="4" t="s">
        <v>20</v>
      </c>
      <c r="K43" s="4" t="s">
        <v>35</v>
      </c>
      <c r="L43" s="7" t="s">
        <v>8</v>
      </c>
      <c r="M43" s="4" t="s">
        <v>261</v>
      </c>
      <c r="N43" s="4" t="s">
        <v>262</v>
      </c>
    </row>
    <row r="44" customFormat="false" ht="34.5" hidden="false" customHeight="true" outlineLevel="0" collapsed="false">
      <c r="A44" s="4" t="n">
        <v>101</v>
      </c>
      <c r="B44" s="4" t="s">
        <v>263</v>
      </c>
      <c r="C44" s="4" t="n">
        <v>14</v>
      </c>
      <c r="D44" s="4" t="s">
        <v>264</v>
      </c>
      <c r="E44" s="4" t="s">
        <v>265</v>
      </c>
      <c r="F44" s="4" t="s">
        <v>265</v>
      </c>
      <c r="G44" s="4" t="n">
        <v>0.97</v>
      </c>
      <c r="H44" s="4" t="s">
        <v>60</v>
      </c>
      <c r="I44" s="4" t="s">
        <v>24</v>
      </c>
      <c r="J44" s="4" t="s">
        <v>20</v>
      </c>
      <c r="K44" s="4" t="s">
        <v>35</v>
      </c>
      <c r="L44" s="7" t="s">
        <v>8</v>
      </c>
      <c r="M44" s="4" t="s">
        <v>244</v>
      </c>
      <c r="N44" s="4" t="s">
        <v>266</v>
      </c>
    </row>
    <row r="45" customFormat="false" ht="34.5" hidden="false" customHeight="true" outlineLevel="0" collapsed="false">
      <c r="A45" s="4" t="n">
        <v>150</v>
      </c>
      <c r="B45" s="4" t="s">
        <v>267</v>
      </c>
      <c r="C45" s="4" t="n">
        <v>14</v>
      </c>
      <c r="D45" s="4" t="s">
        <v>259</v>
      </c>
      <c r="E45" s="4" t="s">
        <v>268</v>
      </c>
      <c r="F45" s="4" t="s">
        <v>269</v>
      </c>
      <c r="G45" s="4" t="n">
        <v>0.91</v>
      </c>
      <c r="H45" s="4" t="s">
        <v>60</v>
      </c>
      <c r="I45" s="4" t="s">
        <v>24</v>
      </c>
      <c r="J45" s="4" t="s">
        <v>20</v>
      </c>
      <c r="K45" s="4" t="s">
        <v>35</v>
      </c>
      <c r="L45" s="7" t="s">
        <v>8</v>
      </c>
      <c r="M45" s="4" t="s">
        <v>168</v>
      </c>
      <c r="N45" s="4" t="s">
        <v>270</v>
      </c>
    </row>
    <row r="46" customFormat="false" ht="23.25" hidden="false" customHeight="true" outlineLevel="0" collapsed="false">
      <c r="A46" s="4" t="n">
        <v>154</v>
      </c>
      <c r="B46" s="4" t="s">
        <v>271</v>
      </c>
      <c r="C46" s="4" t="n">
        <v>14</v>
      </c>
      <c r="D46" s="4" t="s">
        <v>264</v>
      </c>
      <c r="E46" s="4" t="s">
        <v>272</v>
      </c>
      <c r="F46" s="4" t="s">
        <v>272</v>
      </c>
      <c r="G46" s="4" t="n">
        <v>0.85</v>
      </c>
      <c r="H46" s="4" t="s">
        <v>60</v>
      </c>
      <c r="I46" s="4" t="s">
        <v>24</v>
      </c>
      <c r="J46" s="4" t="s">
        <v>20</v>
      </c>
      <c r="K46" s="4" t="s">
        <v>35</v>
      </c>
      <c r="L46" s="7" t="s">
        <v>8</v>
      </c>
      <c r="M46" s="4" t="s">
        <v>153</v>
      </c>
      <c r="N46" s="4" t="s">
        <v>273</v>
      </c>
    </row>
    <row r="47" customFormat="false" ht="23.25" hidden="false" customHeight="true" outlineLevel="0" collapsed="false">
      <c r="A47" s="4" t="n">
        <v>0</v>
      </c>
      <c r="B47" s="4" t="s">
        <v>274</v>
      </c>
      <c r="C47" s="4" t="n">
        <v>19</v>
      </c>
      <c r="D47" s="4" t="s">
        <v>275</v>
      </c>
      <c r="E47" s="4" t="s">
        <v>276</v>
      </c>
      <c r="F47" s="4" t="s">
        <v>276</v>
      </c>
      <c r="G47" s="4" t="n">
        <v>1</v>
      </c>
      <c r="H47" s="4" t="s">
        <v>60</v>
      </c>
      <c r="I47" s="4" t="s">
        <v>24</v>
      </c>
      <c r="J47" s="4" t="s">
        <v>20</v>
      </c>
      <c r="K47" s="4" t="s">
        <v>35</v>
      </c>
      <c r="L47" s="7" t="s">
        <v>8</v>
      </c>
      <c r="M47" s="4" t="s">
        <v>209</v>
      </c>
      <c r="N47" s="4" t="s">
        <v>277</v>
      </c>
    </row>
    <row r="48" customFormat="false" ht="23.25" hidden="false" customHeight="true" outlineLevel="0" collapsed="false">
      <c r="A48" s="4" t="n">
        <v>2</v>
      </c>
      <c r="B48" s="4" t="s">
        <v>278</v>
      </c>
      <c r="C48" s="4" t="n">
        <v>19</v>
      </c>
      <c r="D48" s="4" t="s">
        <v>279</v>
      </c>
      <c r="E48" s="4" t="s">
        <v>280</v>
      </c>
      <c r="F48" s="4" t="s">
        <v>281</v>
      </c>
      <c r="G48" s="4" t="n">
        <v>1</v>
      </c>
      <c r="H48" s="4" t="s">
        <v>282</v>
      </c>
      <c r="I48" s="4" t="s">
        <v>24</v>
      </c>
      <c r="J48" s="4" t="s">
        <v>20</v>
      </c>
      <c r="K48" s="4" t="s">
        <v>35</v>
      </c>
      <c r="L48" s="7" t="s">
        <v>8</v>
      </c>
      <c r="M48" s="4" t="s">
        <v>92</v>
      </c>
      <c r="N48" s="4" t="s">
        <v>283</v>
      </c>
    </row>
    <row r="49" customFormat="false" ht="23.25" hidden="false" customHeight="true" outlineLevel="0" collapsed="false">
      <c r="A49" s="4" t="n">
        <v>17</v>
      </c>
      <c r="B49" s="4" t="s">
        <v>284</v>
      </c>
      <c r="C49" s="4" t="n">
        <v>19</v>
      </c>
      <c r="D49" s="4" t="s">
        <v>279</v>
      </c>
      <c r="E49" s="4" t="s">
        <v>285</v>
      </c>
      <c r="F49" s="4" t="s">
        <v>286</v>
      </c>
      <c r="G49" s="4" t="n">
        <v>1</v>
      </c>
      <c r="H49" s="4" t="s">
        <v>287</v>
      </c>
      <c r="I49" s="4" t="s">
        <v>24</v>
      </c>
      <c r="J49" s="4" t="s">
        <v>20</v>
      </c>
      <c r="K49" s="4" t="s">
        <v>35</v>
      </c>
      <c r="L49" s="7" t="s">
        <v>8</v>
      </c>
      <c r="M49" s="4" t="s">
        <v>92</v>
      </c>
      <c r="N49" s="4" t="s">
        <v>283</v>
      </c>
    </row>
    <row r="50" customFormat="false" ht="23.25" hidden="false" customHeight="true" outlineLevel="0" collapsed="false">
      <c r="A50" s="4" t="n">
        <v>18</v>
      </c>
      <c r="B50" s="4" t="s">
        <v>288</v>
      </c>
      <c r="C50" s="4" t="n">
        <v>19</v>
      </c>
      <c r="D50" s="4" t="s">
        <v>279</v>
      </c>
      <c r="E50" s="4" t="s">
        <v>289</v>
      </c>
      <c r="F50" s="4" t="s">
        <v>286</v>
      </c>
      <c r="G50" s="4" t="n">
        <v>1</v>
      </c>
      <c r="H50" s="4" t="s">
        <v>287</v>
      </c>
      <c r="I50" s="4" t="s">
        <v>24</v>
      </c>
      <c r="J50" s="4" t="s">
        <v>20</v>
      </c>
      <c r="K50" s="4" t="s">
        <v>35</v>
      </c>
      <c r="L50" s="7" t="s">
        <v>8</v>
      </c>
      <c r="M50" s="4" t="s">
        <v>92</v>
      </c>
      <c r="N50" s="4" t="s">
        <v>283</v>
      </c>
    </row>
    <row r="51" customFormat="false" ht="68.25" hidden="false" customHeight="true" outlineLevel="0" collapsed="false">
      <c r="A51" s="4" t="n">
        <v>26</v>
      </c>
      <c r="B51" s="4" t="s">
        <v>290</v>
      </c>
      <c r="C51" s="4" t="n">
        <v>19</v>
      </c>
      <c r="D51" s="4" t="s">
        <v>291</v>
      </c>
      <c r="E51" s="4" t="s">
        <v>292</v>
      </c>
      <c r="F51" s="4" t="s">
        <v>293</v>
      </c>
      <c r="G51" s="4" t="n">
        <v>0.99</v>
      </c>
      <c r="H51" s="4" t="s">
        <v>60</v>
      </c>
      <c r="I51" s="4" t="s">
        <v>24</v>
      </c>
      <c r="J51" s="4" t="s">
        <v>20</v>
      </c>
      <c r="K51" s="4" t="s">
        <v>35</v>
      </c>
      <c r="L51" s="7" t="s">
        <v>8</v>
      </c>
      <c r="M51" s="4" t="s">
        <v>244</v>
      </c>
      <c r="N51" s="4" t="s">
        <v>294</v>
      </c>
    </row>
    <row r="52" customFormat="false" ht="34.5" hidden="false" customHeight="true" outlineLevel="0" collapsed="false">
      <c r="A52" s="4" t="n">
        <v>36</v>
      </c>
      <c r="B52" s="4" t="s">
        <v>295</v>
      </c>
      <c r="C52" s="4" t="n">
        <v>19</v>
      </c>
      <c r="D52" s="4" t="s">
        <v>296</v>
      </c>
      <c r="E52" s="4" t="s">
        <v>297</v>
      </c>
      <c r="F52" s="4" t="s">
        <v>298</v>
      </c>
      <c r="G52" s="4" t="n">
        <v>0.99</v>
      </c>
      <c r="H52" s="4" t="s">
        <v>60</v>
      </c>
      <c r="I52" s="4" t="s">
        <v>24</v>
      </c>
      <c r="J52" s="4" t="s">
        <v>20</v>
      </c>
      <c r="K52" s="4" t="s">
        <v>35</v>
      </c>
      <c r="L52" s="7" t="s">
        <v>8</v>
      </c>
      <c r="M52" s="4" t="s">
        <v>106</v>
      </c>
      <c r="N52" s="4" t="s">
        <v>299</v>
      </c>
    </row>
    <row r="53" customFormat="false" ht="34.5" hidden="false" customHeight="true" outlineLevel="0" collapsed="false">
      <c r="A53" s="4" t="n">
        <v>42</v>
      </c>
      <c r="B53" s="4" t="s">
        <v>300</v>
      </c>
      <c r="C53" s="4" t="n">
        <v>19</v>
      </c>
      <c r="D53" s="4" t="s">
        <v>296</v>
      </c>
      <c r="E53" s="4" t="s">
        <v>301</v>
      </c>
      <c r="F53" s="4" t="s">
        <v>298</v>
      </c>
      <c r="G53" s="4" t="n">
        <v>0.99</v>
      </c>
      <c r="H53" s="4" t="s">
        <v>60</v>
      </c>
      <c r="I53" s="4" t="s">
        <v>24</v>
      </c>
      <c r="J53" s="4" t="s">
        <v>20</v>
      </c>
      <c r="K53" s="4" t="s">
        <v>35</v>
      </c>
      <c r="L53" s="7" t="s">
        <v>8</v>
      </c>
      <c r="M53" s="4" t="s">
        <v>106</v>
      </c>
      <c r="N53" s="4" t="s">
        <v>299</v>
      </c>
    </row>
    <row r="54" customFormat="false" ht="23.25" hidden="false" customHeight="true" outlineLevel="0" collapsed="false">
      <c r="A54" s="4" t="n">
        <v>72</v>
      </c>
      <c r="B54" s="4" t="s">
        <v>302</v>
      </c>
      <c r="C54" s="4" t="n">
        <v>19</v>
      </c>
      <c r="D54" s="4" t="s">
        <v>303</v>
      </c>
      <c r="E54" s="4" t="s">
        <v>304</v>
      </c>
      <c r="F54" s="4" t="s">
        <v>304</v>
      </c>
      <c r="G54" s="4" t="n">
        <v>0.98</v>
      </c>
      <c r="H54" s="4" t="s">
        <v>60</v>
      </c>
      <c r="I54" s="4" t="s">
        <v>24</v>
      </c>
      <c r="J54" s="4" t="s">
        <v>20</v>
      </c>
      <c r="K54" s="4" t="s">
        <v>35</v>
      </c>
      <c r="L54" s="7" t="s">
        <v>8</v>
      </c>
      <c r="M54" s="4" t="s">
        <v>106</v>
      </c>
      <c r="N54" s="4" t="s">
        <v>305</v>
      </c>
    </row>
    <row r="55" customFormat="false" ht="45.75" hidden="false" customHeight="true" outlineLevel="0" collapsed="false">
      <c r="A55" s="4" t="n">
        <v>88</v>
      </c>
      <c r="B55" s="4" t="s">
        <v>306</v>
      </c>
      <c r="C55" s="4" t="n">
        <v>19</v>
      </c>
      <c r="D55" s="4" t="s">
        <v>307</v>
      </c>
      <c r="E55" s="4" t="s">
        <v>308</v>
      </c>
      <c r="F55" s="4" t="s">
        <v>309</v>
      </c>
      <c r="G55" s="4" t="n">
        <v>0.97</v>
      </c>
      <c r="H55" s="4" t="s">
        <v>60</v>
      </c>
      <c r="I55" s="4" t="s">
        <v>24</v>
      </c>
      <c r="J55" s="4" t="s">
        <v>20</v>
      </c>
      <c r="K55" s="4" t="s">
        <v>35</v>
      </c>
      <c r="L55" s="7" t="s">
        <v>8</v>
      </c>
      <c r="M55" s="4" t="s">
        <v>106</v>
      </c>
      <c r="N55" s="4" t="s">
        <v>310</v>
      </c>
    </row>
    <row r="56" customFormat="false" ht="45.75" hidden="false" customHeight="true" outlineLevel="0" collapsed="false">
      <c r="A56" s="4" t="n">
        <v>93</v>
      </c>
      <c r="B56" s="4" t="s">
        <v>311</v>
      </c>
      <c r="C56" s="4" t="n">
        <v>19</v>
      </c>
      <c r="D56" s="4" t="s">
        <v>312</v>
      </c>
      <c r="E56" s="4" t="s">
        <v>313</v>
      </c>
      <c r="F56" s="4" t="s">
        <v>313</v>
      </c>
      <c r="G56" s="4" t="n">
        <v>0.97</v>
      </c>
      <c r="H56" s="4" t="s">
        <v>60</v>
      </c>
      <c r="I56" s="4" t="s">
        <v>24</v>
      </c>
      <c r="J56" s="4" t="s">
        <v>20</v>
      </c>
      <c r="K56" s="4" t="s">
        <v>35</v>
      </c>
      <c r="L56" s="7" t="s">
        <v>8</v>
      </c>
      <c r="M56" s="4" t="s">
        <v>106</v>
      </c>
      <c r="N56" s="4" t="s">
        <v>305</v>
      </c>
    </row>
    <row r="57" customFormat="false" ht="34.5" hidden="false" customHeight="true" outlineLevel="0" collapsed="false">
      <c r="A57" s="4" t="n">
        <v>94</v>
      </c>
      <c r="B57" s="4" t="s">
        <v>314</v>
      </c>
      <c r="C57" s="4" t="n">
        <v>19</v>
      </c>
      <c r="D57" s="4" t="s">
        <v>303</v>
      </c>
      <c r="E57" s="4" t="s">
        <v>315</v>
      </c>
      <c r="F57" s="4" t="s">
        <v>316</v>
      </c>
      <c r="G57" s="4" t="n">
        <v>0.97</v>
      </c>
      <c r="H57" s="4" t="s">
        <v>60</v>
      </c>
      <c r="I57" s="4" t="s">
        <v>24</v>
      </c>
      <c r="J57" s="4" t="s">
        <v>20</v>
      </c>
      <c r="K57" s="4" t="s">
        <v>35</v>
      </c>
      <c r="L57" s="7" t="s">
        <v>8</v>
      </c>
      <c r="M57" s="4" t="s">
        <v>106</v>
      </c>
      <c r="N57" s="4" t="s">
        <v>317</v>
      </c>
    </row>
    <row r="58" customFormat="false" ht="34.5" hidden="false" customHeight="true" outlineLevel="0" collapsed="false">
      <c r="A58" s="4" t="n">
        <v>100</v>
      </c>
      <c r="B58" s="4" t="s">
        <v>318</v>
      </c>
      <c r="C58" s="4" t="n">
        <v>19</v>
      </c>
      <c r="D58" s="4" t="s">
        <v>319</v>
      </c>
      <c r="E58" s="4" t="s">
        <v>320</v>
      </c>
      <c r="F58" s="4" t="s">
        <v>320</v>
      </c>
      <c r="G58" s="4" t="n">
        <v>0.97</v>
      </c>
      <c r="H58" s="4" t="s">
        <v>60</v>
      </c>
      <c r="I58" s="4" t="s">
        <v>24</v>
      </c>
      <c r="J58" s="4" t="s">
        <v>20</v>
      </c>
      <c r="K58" s="4" t="s">
        <v>35</v>
      </c>
      <c r="L58" s="7" t="s">
        <v>8</v>
      </c>
      <c r="M58" s="4" t="s">
        <v>106</v>
      </c>
      <c r="N58" s="4" t="s">
        <v>305</v>
      </c>
    </row>
    <row r="59" customFormat="false" ht="23.25" hidden="false" customHeight="true" outlineLevel="0" collapsed="false">
      <c r="A59" s="4" t="n">
        <v>104</v>
      </c>
      <c r="B59" s="4" t="s">
        <v>321</v>
      </c>
      <c r="C59" s="4" t="n">
        <v>19</v>
      </c>
      <c r="D59" s="4" t="s">
        <v>83</v>
      </c>
      <c r="E59" s="4" t="s">
        <v>322</v>
      </c>
      <c r="F59" s="4" t="s">
        <v>322</v>
      </c>
      <c r="G59" s="4" t="n">
        <v>0.97</v>
      </c>
      <c r="H59" s="4" t="s">
        <v>60</v>
      </c>
      <c r="I59" s="4" t="s">
        <v>24</v>
      </c>
      <c r="J59" s="4" t="s">
        <v>20</v>
      </c>
      <c r="K59" s="4" t="s">
        <v>35</v>
      </c>
      <c r="L59" s="7" t="s">
        <v>8</v>
      </c>
      <c r="M59" s="4" t="s">
        <v>106</v>
      </c>
      <c r="N59" s="4" t="s">
        <v>305</v>
      </c>
    </row>
    <row r="60" customFormat="false" ht="68.25" hidden="false" customHeight="true" outlineLevel="0" collapsed="false">
      <c r="A60" s="4" t="n">
        <v>106</v>
      </c>
      <c r="B60" s="4" t="s">
        <v>323</v>
      </c>
      <c r="C60" s="4" t="n">
        <v>19</v>
      </c>
      <c r="D60" s="4" t="s">
        <v>291</v>
      </c>
      <c r="E60" s="4" t="s">
        <v>324</v>
      </c>
      <c r="F60" s="4" t="s">
        <v>325</v>
      </c>
      <c r="G60" s="4" t="n">
        <v>0.97</v>
      </c>
      <c r="H60" s="4" t="s">
        <v>60</v>
      </c>
      <c r="I60" s="4" t="s">
        <v>24</v>
      </c>
      <c r="J60" s="4" t="s">
        <v>20</v>
      </c>
      <c r="K60" s="4" t="s">
        <v>35</v>
      </c>
      <c r="L60" s="7" t="s">
        <v>8</v>
      </c>
      <c r="M60" s="4" t="s">
        <v>326</v>
      </c>
      <c r="N60" s="4" t="s">
        <v>327</v>
      </c>
    </row>
    <row r="61" customFormat="false" ht="45.75" hidden="false" customHeight="true" outlineLevel="0" collapsed="false">
      <c r="A61" s="4" t="n">
        <v>145</v>
      </c>
      <c r="B61" s="4" t="s">
        <v>328</v>
      </c>
      <c r="C61" s="4" t="n">
        <v>19</v>
      </c>
      <c r="D61" s="4" t="s">
        <v>329</v>
      </c>
      <c r="E61" s="4" t="s">
        <v>330</v>
      </c>
      <c r="F61" s="4" t="s">
        <v>331</v>
      </c>
      <c r="G61" s="4" t="n">
        <v>0.93</v>
      </c>
      <c r="H61" s="4" t="s">
        <v>60</v>
      </c>
      <c r="I61" s="4" t="s">
        <v>24</v>
      </c>
      <c r="J61" s="4" t="s">
        <v>20</v>
      </c>
      <c r="K61" s="4" t="s">
        <v>35</v>
      </c>
      <c r="L61" s="7" t="s">
        <v>8</v>
      </c>
      <c r="M61" s="4" t="s">
        <v>106</v>
      </c>
      <c r="N61" s="4" t="s">
        <v>305</v>
      </c>
    </row>
    <row r="62" customFormat="false" ht="57" hidden="false" customHeight="true" outlineLevel="0" collapsed="false">
      <c r="A62" s="4" t="n">
        <v>86</v>
      </c>
      <c r="B62" s="4" t="s">
        <v>332</v>
      </c>
      <c r="C62" s="4" t="n">
        <v>22</v>
      </c>
      <c r="D62" s="4" t="s">
        <v>333</v>
      </c>
      <c r="E62" s="4" t="s">
        <v>334</v>
      </c>
      <c r="F62" s="4" t="s">
        <v>335</v>
      </c>
      <c r="G62" s="4" t="n">
        <v>0.97</v>
      </c>
      <c r="H62" s="4" t="s">
        <v>60</v>
      </c>
      <c r="I62" s="4" t="s">
        <v>24</v>
      </c>
      <c r="J62" s="4" t="s">
        <v>20</v>
      </c>
      <c r="K62" s="4" t="s">
        <v>35</v>
      </c>
      <c r="L62" s="7" t="s">
        <v>8</v>
      </c>
      <c r="M62" s="4" t="s">
        <v>92</v>
      </c>
      <c r="N62" s="4" t="s">
        <v>336</v>
      </c>
    </row>
    <row r="63" customFormat="false" ht="23.25" hidden="false" customHeight="true" outlineLevel="0" collapsed="false">
      <c r="A63" s="4" t="n">
        <v>138</v>
      </c>
      <c r="B63" s="4" t="s">
        <v>337</v>
      </c>
      <c r="C63" s="4" t="n">
        <v>22</v>
      </c>
      <c r="D63" s="4" t="s">
        <v>338</v>
      </c>
      <c r="E63" s="4" t="s">
        <v>339</v>
      </c>
      <c r="F63" s="4" t="s">
        <v>340</v>
      </c>
      <c r="G63" s="4" t="n">
        <v>0.95</v>
      </c>
      <c r="H63" s="4" t="s">
        <v>341</v>
      </c>
      <c r="I63" s="4" t="s">
        <v>24</v>
      </c>
      <c r="J63" s="4" t="s">
        <v>20</v>
      </c>
      <c r="K63" s="4" t="s">
        <v>35</v>
      </c>
      <c r="L63" s="7" t="s">
        <v>8</v>
      </c>
      <c r="M63" s="4" t="s">
        <v>112</v>
      </c>
      <c r="N63" s="4" t="s">
        <v>342</v>
      </c>
    </row>
    <row r="64" customFormat="false" ht="23.25" hidden="false" customHeight="true" outlineLevel="0" collapsed="false">
      <c r="A64" s="4" t="n">
        <v>140</v>
      </c>
      <c r="B64" s="4" t="s">
        <v>343</v>
      </c>
      <c r="C64" s="4" t="n">
        <v>22</v>
      </c>
      <c r="D64" s="4" t="s">
        <v>333</v>
      </c>
      <c r="E64" s="4" t="s">
        <v>344</v>
      </c>
      <c r="F64" s="4" t="s">
        <v>344</v>
      </c>
      <c r="G64" s="4" t="n">
        <v>0.95</v>
      </c>
      <c r="H64" s="4" t="s">
        <v>60</v>
      </c>
      <c r="I64" s="4" t="s">
        <v>24</v>
      </c>
      <c r="J64" s="4" t="s">
        <v>20</v>
      </c>
      <c r="K64" s="4" t="s">
        <v>35</v>
      </c>
      <c r="L64" s="7" t="s">
        <v>8</v>
      </c>
      <c r="M64" s="4" t="s">
        <v>106</v>
      </c>
      <c r="N64" s="4" t="s">
        <v>305</v>
      </c>
    </row>
    <row r="65" customFormat="false" ht="45.75" hidden="false" customHeight="true" outlineLevel="0" collapsed="false">
      <c r="A65" s="4" t="n">
        <v>20</v>
      </c>
      <c r="B65" s="4" t="s">
        <v>345</v>
      </c>
      <c r="C65" s="4" t="n">
        <v>4</v>
      </c>
      <c r="D65" s="4" t="s">
        <v>346</v>
      </c>
      <c r="E65" s="4" t="s">
        <v>347</v>
      </c>
      <c r="F65" s="4" t="s">
        <v>348</v>
      </c>
      <c r="G65" s="4" t="n">
        <v>1</v>
      </c>
      <c r="H65" s="4" t="s">
        <v>60</v>
      </c>
      <c r="I65" s="4" t="s">
        <v>24</v>
      </c>
      <c r="J65" s="4" t="s">
        <v>22</v>
      </c>
      <c r="K65" s="4" t="s">
        <v>38</v>
      </c>
      <c r="L65" s="8" t="s">
        <v>10</v>
      </c>
      <c r="M65" s="4" t="s">
        <v>349</v>
      </c>
      <c r="N65" s="4" t="s">
        <v>350</v>
      </c>
    </row>
    <row r="66" customFormat="false" ht="90.75" hidden="false" customHeight="true" outlineLevel="0" collapsed="false">
      <c r="A66" s="4" t="n">
        <v>32</v>
      </c>
      <c r="B66" s="4" t="s">
        <v>351</v>
      </c>
      <c r="C66" s="4" t="n">
        <v>4</v>
      </c>
      <c r="D66" s="4" t="s">
        <v>352</v>
      </c>
      <c r="E66" s="4" t="s">
        <v>353</v>
      </c>
      <c r="F66" s="4" t="s">
        <v>354</v>
      </c>
      <c r="G66" s="4" t="n">
        <v>0.99</v>
      </c>
      <c r="H66" s="4" t="s">
        <v>60</v>
      </c>
      <c r="I66" s="4" t="s">
        <v>24</v>
      </c>
      <c r="J66" s="4" t="s">
        <v>22</v>
      </c>
      <c r="K66" s="4" t="s">
        <v>38</v>
      </c>
      <c r="L66" s="8" t="s">
        <v>10</v>
      </c>
      <c r="M66" s="4" t="s">
        <v>349</v>
      </c>
      <c r="N66" s="4" t="s">
        <v>355</v>
      </c>
    </row>
    <row r="67" customFormat="false" ht="34.5" hidden="false" customHeight="true" outlineLevel="0" collapsed="false">
      <c r="A67" s="4" t="n">
        <v>43</v>
      </c>
      <c r="B67" s="4" t="s">
        <v>356</v>
      </c>
      <c r="C67" s="4" t="n">
        <v>4</v>
      </c>
      <c r="D67" s="4" t="s">
        <v>357</v>
      </c>
      <c r="E67" s="4" t="s">
        <v>358</v>
      </c>
      <c r="F67" s="4" t="s">
        <v>359</v>
      </c>
      <c r="G67" s="4" t="n">
        <v>0.99</v>
      </c>
      <c r="H67" s="4" t="s">
        <v>60</v>
      </c>
      <c r="I67" s="4" t="s">
        <v>24</v>
      </c>
      <c r="J67" s="4" t="s">
        <v>22</v>
      </c>
      <c r="K67" s="4" t="s">
        <v>38</v>
      </c>
      <c r="L67" s="8" t="s">
        <v>10</v>
      </c>
      <c r="M67" s="4" t="s">
        <v>349</v>
      </c>
      <c r="N67" s="4" t="s">
        <v>360</v>
      </c>
    </row>
    <row r="68" customFormat="false" ht="34.5" hidden="false" customHeight="true" outlineLevel="0" collapsed="false">
      <c r="A68" s="4" t="n">
        <v>31</v>
      </c>
      <c r="B68" s="4" t="s">
        <v>361</v>
      </c>
      <c r="C68" s="4" t="n">
        <v>10</v>
      </c>
      <c r="D68" s="4" t="s">
        <v>362</v>
      </c>
      <c r="E68" s="4" t="s">
        <v>363</v>
      </c>
      <c r="F68" s="4" t="s">
        <v>364</v>
      </c>
      <c r="G68" s="4" t="n">
        <v>0.99</v>
      </c>
      <c r="H68" s="4" t="s">
        <v>60</v>
      </c>
      <c r="I68" s="4" t="s">
        <v>24</v>
      </c>
      <c r="J68" s="4" t="s">
        <v>21</v>
      </c>
      <c r="K68" s="4" t="s">
        <v>39</v>
      </c>
      <c r="L68" s="8" t="s">
        <v>10</v>
      </c>
      <c r="M68" s="4" t="s">
        <v>365</v>
      </c>
      <c r="N68" s="4" t="s">
        <v>366</v>
      </c>
    </row>
    <row r="69" customFormat="false" ht="57" hidden="false" customHeight="true" outlineLevel="0" collapsed="false">
      <c r="A69" s="4" t="n">
        <v>50</v>
      </c>
      <c r="B69" s="4" t="s">
        <v>367</v>
      </c>
      <c r="C69" s="4" t="n">
        <v>10</v>
      </c>
      <c r="D69" s="4" t="s">
        <v>368</v>
      </c>
      <c r="E69" s="4" t="s">
        <v>369</v>
      </c>
      <c r="F69" s="4" t="s">
        <v>370</v>
      </c>
      <c r="G69" s="4" t="n">
        <v>0.99</v>
      </c>
      <c r="H69" s="4" t="s">
        <v>60</v>
      </c>
      <c r="I69" s="4" t="s">
        <v>24</v>
      </c>
      <c r="J69" s="4" t="s">
        <v>22</v>
      </c>
      <c r="K69" s="4" t="s">
        <v>38</v>
      </c>
      <c r="L69" s="8" t="s">
        <v>10</v>
      </c>
      <c r="M69" s="4" t="s">
        <v>349</v>
      </c>
      <c r="N69" s="4" t="s">
        <v>371</v>
      </c>
    </row>
    <row r="70" customFormat="false" ht="34.5" hidden="false" customHeight="true" outlineLevel="0" collapsed="false">
      <c r="A70" s="4" t="n">
        <v>70</v>
      </c>
      <c r="B70" s="4" t="s">
        <v>372</v>
      </c>
      <c r="C70" s="4" t="n">
        <v>10</v>
      </c>
      <c r="D70" s="4" t="s">
        <v>373</v>
      </c>
      <c r="E70" s="4" t="s">
        <v>374</v>
      </c>
      <c r="F70" s="4" t="s">
        <v>375</v>
      </c>
      <c r="G70" s="4" t="n">
        <v>0.98</v>
      </c>
      <c r="H70" s="4" t="s">
        <v>376</v>
      </c>
      <c r="I70" s="4" t="s">
        <v>24</v>
      </c>
      <c r="J70" s="4" t="s">
        <v>21</v>
      </c>
      <c r="K70" s="4" t="s">
        <v>39</v>
      </c>
      <c r="L70" s="8" t="s">
        <v>10</v>
      </c>
      <c r="M70" s="4" t="s">
        <v>365</v>
      </c>
      <c r="N70" s="4" t="s">
        <v>377</v>
      </c>
    </row>
    <row r="71" customFormat="false" ht="34.5" hidden="false" customHeight="true" outlineLevel="0" collapsed="false">
      <c r="A71" s="4" t="n">
        <v>77</v>
      </c>
      <c r="B71" s="4" t="s">
        <v>378</v>
      </c>
      <c r="C71" s="4" t="n">
        <v>10</v>
      </c>
      <c r="D71" s="4" t="s">
        <v>140</v>
      </c>
      <c r="E71" s="4" t="s">
        <v>379</v>
      </c>
      <c r="F71" s="4" t="s">
        <v>379</v>
      </c>
      <c r="G71" s="4" t="n">
        <v>0.98</v>
      </c>
      <c r="H71" s="4" t="s">
        <v>60</v>
      </c>
      <c r="I71" s="4" t="s">
        <v>24</v>
      </c>
      <c r="J71" s="4" t="s">
        <v>20</v>
      </c>
      <c r="K71" s="4" t="s">
        <v>36</v>
      </c>
      <c r="L71" s="8" t="s">
        <v>10</v>
      </c>
      <c r="M71" s="4" t="s">
        <v>380</v>
      </c>
      <c r="N71" s="4" t="s">
        <v>381</v>
      </c>
    </row>
    <row r="72" customFormat="false" ht="45.75" hidden="false" customHeight="true" outlineLevel="0" collapsed="false">
      <c r="A72" s="4" t="n">
        <v>82</v>
      </c>
      <c r="B72" s="4" t="s">
        <v>382</v>
      </c>
      <c r="C72" s="4" t="n">
        <v>10</v>
      </c>
      <c r="D72" s="4" t="s">
        <v>69</v>
      </c>
      <c r="E72" s="4" t="s">
        <v>383</v>
      </c>
      <c r="F72" s="4" t="s">
        <v>384</v>
      </c>
      <c r="G72" s="4" t="n">
        <v>0.98</v>
      </c>
      <c r="H72" s="4" t="s">
        <v>385</v>
      </c>
      <c r="I72" s="4" t="s">
        <v>24</v>
      </c>
      <c r="J72" s="4" t="s">
        <v>21</v>
      </c>
      <c r="K72" s="4" t="s">
        <v>39</v>
      </c>
      <c r="L72" s="8" t="s">
        <v>10</v>
      </c>
      <c r="M72" s="4" t="s">
        <v>365</v>
      </c>
      <c r="N72" s="4" t="s">
        <v>386</v>
      </c>
    </row>
    <row r="73" customFormat="false" ht="34.5" hidden="false" customHeight="true" outlineLevel="0" collapsed="false">
      <c r="A73" s="4" t="n">
        <v>85</v>
      </c>
      <c r="B73" s="4" t="s">
        <v>387</v>
      </c>
      <c r="C73" s="4" t="n">
        <v>10</v>
      </c>
      <c r="D73" s="4" t="s">
        <v>362</v>
      </c>
      <c r="E73" s="4" t="s">
        <v>388</v>
      </c>
      <c r="F73" s="4" t="s">
        <v>389</v>
      </c>
      <c r="G73" s="4" t="n">
        <v>0.97</v>
      </c>
      <c r="H73" s="4" t="s">
        <v>60</v>
      </c>
      <c r="I73" s="4" t="s">
        <v>24</v>
      </c>
      <c r="J73" s="4" t="s">
        <v>22</v>
      </c>
      <c r="K73" s="4" t="s">
        <v>38</v>
      </c>
      <c r="L73" s="8" t="s">
        <v>10</v>
      </c>
      <c r="M73" s="4" t="s">
        <v>349</v>
      </c>
      <c r="N73" s="4" t="s">
        <v>390</v>
      </c>
    </row>
    <row r="74" customFormat="false" ht="34.5" hidden="false" customHeight="true" outlineLevel="0" collapsed="false">
      <c r="A74" s="4" t="n">
        <v>109</v>
      </c>
      <c r="B74" s="4" t="s">
        <v>391</v>
      </c>
      <c r="C74" s="4" t="n">
        <v>10</v>
      </c>
      <c r="D74" s="4" t="s">
        <v>392</v>
      </c>
      <c r="E74" s="4" t="s">
        <v>393</v>
      </c>
      <c r="F74" s="4" t="s">
        <v>394</v>
      </c>
      <c r="G74" s="4" t="n">
        <v>0.97</v>
      </c>
      <c r="H74" s="4" t="s">
        <v>60</v>
      </c>
      <c r="I74" s="4" t="s">
        <v>24</v>
      </c>
      <c r="J74" s="4" t="s">
        <v>20</v>
      </c>
      <c r="K74" s="4" t="s">
        <v>37</v>
      </c>
      <c r="L74" s="8" t="s">
        <v>10</v>
      </c>
      <c r="M74" s="4" t="s">
        <v>395</v>
      </c>
      <c r="N74" s="4" t="s">
        <v>396</v>
      </c>
    </row>
    <row r="75" customFormat="false" ht="68.25" hidden="false" customHeight="true" outlineLevel="0" collapsed="false">
      <c r="A75" s="4" t="n">
        <v>112</v>
      </c>
      <c r="B75" s="4" t="s">
        <v>397</v>
      </c>
      <c r="C75" s="4" t="n">
        <v>10</v>
      </c>
      <c r="D75" s="4" t="s">
        <v>140</v>
      </c>
      <c r="E75" s="4" t="s">
        <v>398</v>
      </c>
      <c r="F75" s="4" t="s">
        <v>399</v>
      </c>
      <c r="G75" s="4" t="n">
        <v>0.97</v>
      </c>
      <c r="H75" s="4" t="s">
        <v>60</v>
      </c>
      <c r="I75" s="4" t="s">
        <v>24</v>
      </c>
      <c r="J75" s="4" t="s">
        <v>20</v>
      </c>
      <c r="K75" s="4" t="s">
        <v>36</v>
      </c>
      <c r="L75" s="8" t="s">
        <v>10</v>
      </c>
      <c r="M75" s="4" t="s">
        <v>380</v>
      </c>
      <c r="N75" s="4" t="s">
        <v>400</v>
      </c>
    </row>
    <row r="76" customFormat="false" ht="23.25" hidden="false" customHeight="true" outlineLevel="0" collapsed="false">
      <c r="A76" s="4" t="n">
        <v>120</v>
      </c>
      <c r="B76" s="4" t="s">
        <v>401</v>
      </c>
      <c r="C76" s="4" t="n">
        <v>10</v>
      </c>
      <c r="D76" s="4" t="s">
        <v>402</v>
      </c>
      <c r="E76" s="4" t="s">
        <v>403</v>
      </c>
      <c r="F76" s="4" t="s">
        <v>404</v>
      </c>
      <c r="G76" s="4" t="n">
        <v>0.97</v>
      </c>
      <c r="H76" s="4" t="s">
        <v>60</v>
      </c>
      <c r="I76" s="4" t="s">
        <v>24</v>
      </c>
      <c r="J76" s="4" t="s">
        <v>20</v>
      </c>
      <c r="K76" s="4" t="s">
        <v>36</v>
      </c>
      <c r="L76" s="8" t="s">
        <v>10</v>
      </c>
      <c r="M76" s="4" t="s">
        <v>380</v>
      </c>
      <c r="N76" s="4" t="s">
        <v>405</v>
      </c>
    </row>
    <row r="77" customFormat="false" ht="23.25" hidden="false" customHeight="true" outlineLevel="0" collapsed="false">
      <c r="A77" s="4" t="n">
        <v>137</v>
      </c>
      <c r="B77" s="4" t="s">
        <v>406</v>
      </c>
      <c r="C77" s="4" t="n">
        <v>10</v>
      </c>
      <c r="D77" s="4" t="s">
        <v>407</v>
      </c>
      <c r="E77" s="4" t="s">
        <v>408</v>
      </c>
      <c r="F77" s="4" t="s">
        <v>408</v>
      </c>
      <c r="G77" s="4" t="n">
        <v>0.95</v>
      </c>
      <c r="H77" s="4" t="s">
        <v>409</v>
      </c>
      <c r="I77" s="4" t="s">
        <v>24</v>
      </c>
      <c r="J77" s="4" t="s">
        <v>20</v>
      </c>
      <c r="K77" s="4" t="s">
        <v>36</v>
      </c>
      <c r="L77" s="8" t="s">
        <v>10</v>
      </c>
      <c r="M77" s="4" t="s">
        <v>380</v>
      </c>
      <c r="N77" s="4" t="s">
        <v>410</v>
      </c>
    </row>
    <row r="78" customFormat="false" ht="23.25" hidden="false" customHeight="true" outlineLevel="0" collapsed="false">
      <c r="A78" s="4" t="n">
        <v>142</v>
      </c>
      <c r="B78" s="4" t="s">
        <v>411</v>
      </c>
      <c r="C78" s="4" t="n">
        <v>10</v>
      </c>
      <c r="D78" s="4" t="s">
        <v>392</v>
      </c>
      <c r="E78" s="4" t="s">
        <v>412</v>
      </c>
      <c r="F78" s="4" t="s">
        <v>413</v>
      </c>
      <c r="G78" s="4" t="n">
        <v>0.95</v>
      </c>
      <c r="H78" s="4" t="s">
        <v>60</v>
      </c>
      <c r="I78" s="4" t="s">
        <v>24</v>
      </c>
      <c r="J78" s="4" t="s">
        <v>22</v>
      </c>
      <c r="K78" s="4" t="s">
        <v>38</v>
      </c>
      <c r="L78" s="8" t="s">
        <v>10</v>
      </c>
      <c r="M78" s="4" t="s">
        <v>349</v>
      </c>
      <c r="N78" s="4" t="s">
        <v>414</v>
      </c>
    </row>
    <row r="79" customFormat="false" ht="23.25" hidden="false" customHeight="true" outlineLevel="0" collapsed="false">
      <c r="A79" s="4" t="n">
        <v>12</v>
      </c>
      <c r="B79" s="4" t="s">
        <v>415</v>
      </c>
      <c r="C79" s="4" t="n">
        <v>13</v>
      </c>
      <c r="D79" s="4" t="s">
        <v>191</v>
      </c>
      <c r="E79" s="4" t="s">
        <v>416</v>
      </c>
      <c r="F79" s="4" t="s">
        <v>417</v>
      </c>
      <c r="G79" s="4" t="n">
        <v>1</v>
      </c>
      <c r="H79" s="4" t="s">
        <v>60</v>
      </c>
      <c r="I79" s="4" t="s">
        <v>24</v>
      </c>
      <c r="J79" s="4" t="s">
        <v>22</v>
      </c>
      <c r="K79" s="4" t="s">
        <v>38</v>
      </c>
      <c r="L79" s="8" t="s">
        <v>10</v>
      </c>
      <c r="M79" s="4" t="s">
        <v>349</v>
      </c>
      <c r="N79" s="4" t="s">
        <v>418</v>
      </c>
    </row>
    <row r="80" customFormat="false" ht="45.75" hidden="false" customHeight="true" outlineLevel="0" collapsed="false">
      <c r="A80" s="4" t="n">
        <v>108</v>
      </c>
      <c r="B80" s="4" t="s">
        <v>419</v>
      </c>
      <c r="C80" s="4" t="n">
        <v>13</v>
      </c>
      <c r="D80" s="4" t="s">
        <v>180</v>
      </c>
      <c r="E80" s="4" t="s">
        <v>420</v>
      </c>
      <c r="F80" s="4" t="s">
        <v>421</v>
      </c>
      <c r="G80" s="4" t="n">
        <v>0.97</v>
      </c>
      <c r="H80" s="4" t="s">
        <v>60</v>
      </c>
      <c r="I80" s="4" t="s">
        <v>24</v>
      </c>
      <c r="J80" s="4" t="s">
        <v>22</v>
      </c>
      <c r="K80" s="4" t="s">
        <v>38</v>
      </c>
      <c r="L80" s="8" t="s">
        <v>10</v>
      </c>
      <c r="M80" s="4" t="s">
        <v>349</v>
      </c>
      <c r="N80" s="4" t="s">
        <v>422</v>
      </c>
    </row>
    <row r="81" customFormat="false" ht="45.75" hidden="false" customHeight="true" outlineLevel="0" collapsed="false">
      <c r="A81" s="4" t="n">
        <v>148</v>
      </c>
      <c r="B81" s="4" t="s">
        <v>423</v>
      </c>
      <c r="C81" s="4" t="n">
        <v>13</v>
      </c>
      <c r="D81" s="4" t="s">
        <v>424</v>
      </c>
      <c r="E81" s="4" t="s">
        <v>425</v>
      </c>
      <c r="F81" s="4" t="s">
        <v>426</v>
      </c>
      <c r="G81" s="4" t="n">
        <v>0.91</v>
      </c>
      <c r="H81" s="4" t="s">
        <v>60</v>
      </c>
      <c r="I81" s="4" t="s">
        <v>24</v>
      </c>
      <c r="J81" s="4" t="s">
        <v>22</v>
      </c>
      <c r="K81" s="4" t="s">
        <v>38</v>
      </c>
      <c r="L81" s="8" t="s">
        <v>10</v>
      </c>
      <c r="M81" s="4" t="s">
        <v>349</v>
      </c>
      <c r="N81" s="4" t="s">
        <v>427</v>
      </c>
    </row>
    <row r="82" customFormat="false" ht="68.25" hidden="false" customHeight="true" outlineLevel="0" collapsed="false">
      <c r="A82" s="4" t="n">
        <v>149</v>
      </c>
      <c r="B82" s="4" t="s">
        <v>428</v>
      </c>
      <c r="C82" s="4" t="n">
        <v>13</v>
      </c>
      <c r="D82" s="4" t="s">
        <v>424</v>
      </c>
      <c r="E82" s="4" t="s">
        <v>429</v>
      </c>
      <c r="F82" s="4" t="s">
        <v>430</v>
      </c>
      <c r="G82" s="4" t="n">
        <v>0.91</v>
      </c>
      <c r="H82" s="4" t="s">
        <v>60</v>
      </c>
      <c r="I82" s="4" t="s">
        <v>24</v>
      </c>
      <c r="J82" s="4" t="s">
        <v>22</v>
      </c>
      <c r="K82" s="4" t="s">
        <v>38</v>
      </c>
      <c r="L82" s="8" t="s">
        <v>10</v>
      </c>
      <c r="M82" s="4" t="s">
        <v>349</v>
      </c>
      <c r="N82" s="4" t="s">
        <v>431</v>
      </c>
    </row>
    <row r="83" customFormat="false" ht="124.5" hidden="false" customHeight="true" outlineLevel="0" collapsed="false">
      <c r="A83" s="4" t="n">
        <v>16</v>
      </c>
      <c r="B83" s="4" t="s">
        <v>432</v>
      </c>
      <c r="C83" s="4" t="n">
        <v>14</v>
      </c>
      <c r="D83" s="4" t="s">
        <v>433</v>
      </c>
      <c r="E83" s="4" t="s">
        <v>434</v>
      </c>
      <c r="F83" s="4" t="s">
        <v>435</v>
      </c>
      <c r="G83" s="4" t="n">
        <v>1</v>
      </c>
      <c r="H83" s="4" t="s">
        <v>60</v>
      </c>
      <c r="I83" s="4" t="s">
        <v>24</v>
      </c>
      <c r="J83" s="4" t="s">
        <v>22</v>
      </c>
      <c r="K83" s="4" t="s">
        <v>38</v>
      </c>
      <c r="L83" s="8" t="s">
        <v>10</v>
      </c>
      <c r="M83" s="4" t="s">
        <v>349</v>
      </c>
      <c r="N83" s="4" t="s">
        <v>436</v>
      </c>
    </row>
    <row r="84" customFormat="false" ht="45.75" hidden="false" customHeight="true" outlineLevel="0" collapsed="false">
      <c r="A84" s="4" t="n">
        <v>28</v>
      </c>
      <c r="B84" s="4" t="s">
        <v>437</v>
      </c>
      <c r="C84" s="4" t="n">
        <v>14</v>
      </c>
      <c r="D84" s="4" t="s">
        <v>438</v>
      </c>
      <c r="E84" s="4" t="s">
        <v>439</v>
      </c>
      <c r="F84" s="4" t="s">
        <v>440</v>
      </c>
      <c r="G84" s="4" t="n">
        <v>0.99</v>
      </c>
      <c r="H84" s="4" t="s">
        <v>60</v>
      </c>
      <c r="I84" s="4" t="s">
        <v>24</v>
      </c>
      <c r="J84" s="4" t="s">
        <v>22</v>
      </c>
      <c r="K84" s="4" t="s">
        <v>38</v>
      </c>
      <c r="L84" s="8" t="s">
        <v>10</v>
      </c>
      <c r="M84" s="4" t="s">
        <v>349</v>
      </c>
      <c r="N84" s="4" t="s">
        <v>441</v>
      </c>
    </row>
    <row r="85" customFormat="false" ht="23.25" hidden="false" customHeight="true" outlineLevel="0" collapsed="false">
      <c r="A85" s="4" t="n">
        <v>133</v>
      </c>
      <c r="B85" s="4" t="s">
        <v>442</v>
      </c>
      <c r="C85" s="4" t="n">
        <v>14</v>
      </c>
      <c r="D85" s="4" t="s">
        <v>264</v>
      </c>
      <c r="E85" s="4" t="s">
        <v>443</v>
      </c>
      <c r="F85" s="4" t="s">
        <v>444</v>
      </c>
      <c r="G85" s="4" t="n">
        <v>0.95</v>
      </c>
      <c r="H85" s="4" t="s">
        <v>60</v>
      </c>
      <c r="I85" s="4" t="s">
        <v>24</v>
      </c>
      <c r="J85" s="4" t="s">
        <v>22</v>
      </c>
      <c r="K85" s="4" t="s">
        <v>38</v>
      </c>
      <c r="L85" s="8" t="s">
        <v>10</v>
      </c>
      <c r="M85" s="4" t="s">
        <v>349</v>
      </c>
      <c r="N85" s="4" t="s">
        <v>445</v>
      </c>
    </row>
    <row r="86" customFormat="false" ht="45.75" hidden="false" customHeight="true" outlineLevel="0" collapsed="false">
      <c r="A86" s="4" t="n">
        <v>89</v>
      </c>
      <c r="B86" s="4" t="s">
        <v>446</v>
      </c>
      <c r="C86" s="4" t="n">
        <v>19</v>
      </c>
      <c r="D86" s="4" t="s">
        <v>307</v>
      </c>
      <c r="E86" s="4" t="s">
        <v>447</v>
      </c>
      <c r="F86" s="4" t="s">
        <v>309</v>
      </c>
      <c r="G86" s="4" t="n">
        <v>0.97</v>
      </c>
      <c r="H86" s="4" t="s">
        <v>60</v>
      </c>
      <c r="I86" s="4" t="s">
        <v>24</v>
      </c>
      <c r="J86" s="4" t="s">
        <v>21</v>
      </c>
      <c r="K86" s="4" t="s">
        <v>39</v>
      </c>
      <c r="L86" s="8" t="s">
        <v>10</v>
      </c>
      <c r="M86" s="4" t="s">
        <v>365</v>
      </c>
      <c r="N86" s="4" t="s">
        <v>448</v>
      </c>
    </row>
    <row r="87" customFormat="false" ht="23.25" hidden="false" customHeight="true" outlineLevel="0" collapsed="false">
      <c r="A87" s="4" t="n">
        <v>105</v>
      </c>
      <c r="B87" s="4" t="s">
        <v>449</v>
      </c>
      <c r="C87" s="4" t="n">
        <v>19</v>
      </c>
      <c r="D87" s="4" t="s">
        <v>450</v>
      </c>
      <c r="E87" s="4" t="s">
        <v>451</v>
      </c>
      <c r="F87" s="4" t="s">
        <v>451</v>
      </c>
      <c r="G87" s="4" t="n">
        <v>0.97</v>
      </c>
      <c r="H87" s="4" t="s">
        <v>60</v>
      </c>
      <c r="I87" s="4" t="s">
        <v>24</v>
      </c>
      <c r="J87" s="4" t="s">
        <v>21</v>
      </c>
      <c r="K87" s="4" t="s">
        <v>39</v>
      </c>
      <c r="L87" s="8" t="s">
        <v>10</v>
      </c>
      <c r="M87" s="4" t="s">
        <v>452</v>
      </c>
      <c r="N87" s="4" t="s">
        <v>453</v>
      </c>
    </row>
    <row r="88" customFormat="false" ht="57" hidden="false" customHeight="true" outlineLevel="0" collapsed="false">
      <c r="A88" s="4" t="n">
        <v>107</v>
      </c>
      <c r="B88" s="4" t="s">
        <v>454</v>
      </c>
      <c r="C88" s="4" t="n">
        <v>19</v>
      </c>
      <c r="D88" s="4" t="s">
        <v>455</v>
      </c>
      <c r="E88" s="4" t="s">
        <v>456</v>
      </c>
      <c r="F88" s="4" t="s">
        <v>457</v>
      </c>
      <c r="G88" s="4" t="n">
        <v>0.97</v>
      </c>
      <c r="H88" s="4" t="s">
        <v>60</v>
      </c>
      <c r="I88" s="4" t="s">
        <v>24</v>
      </c>
      <c r="J88" s="4" t="s">
        <v>22</v>
      </c>
      <c r="K88" s="4" t="s">
        <v>38</v>
      </c>
      <c r="L88" s="8" t="s">
        <v>10</v>
      </c>
      <c r="M88" s="4" t="s">
        <v>349</v>
      </c>
      <c r="N88" s="4" t="s">
        <v>458</v>
      </c>
    </row>
    <row r="89" customFormat="false" ht="34.5" hidden="false" customHeight="true" outlineLevel="0" collapsed="false">
      <c r="A89" s="4" t="n">
        <v>131</v>
      </c>
      <c r="B89" s="4" t="s">
        <v>459</v>
      </c>
      <c r="C89" s="4" t="n">
        <v>22</v>
      </c>
      <c r="D89" s="4" t="s">
        <v>338</v>
      </c>
      <c r="E89" s="4" t="s">
        <v>460</v>
      </c>
      <c r="F89" s="4" t="s">
        <v>461</v>
      </c>
      <c r="G89" s="4" t="n">
        <v>0.95</v>
      </c>
      <c r="H89" s="4" t="s">
        <v>60</v>
      </c>
      <c r="I89" s="4" t="s">
        <v>24</v>
      </c>
      <c r="J89" s="4" t="s">
        <v>22</v>
      </c>
      <c r="K89" s="4" t="s">
        <v>38</v>
      </c>
      <c r="L89" s="8" t="s">
        <v>10</v>
      </c>
      <c r="M89" s="4" t="s">
        <v>349</v>
      </c>
      <c r="N89" s="4" t="s">
        <v>462</v>
      </c>
    </row>
    <row r="90" customFormat="false" ht="57" hidden="false" customHeight="true" outlineLevel="0" collapsed="false">
      <c r="A90" s="4" t="n">
        <v>33</v>
      </c>
      <c r="B90" s="4" t="s">
        <v>463</v>
      </c>
      <c r="C90" s="4" t="n">
        <v>4</v>
      </c>
      <c r="D90" s="4" t="s">
        <v>464</v>
      </c>
      <c r="E90" s="4" t="s">
        <v>465</v>
      </c>
      <c r="F90" s="4" t="s">
        <v>466</v>
      </c>
      <c r="G90" s="4" t="n">
        <v>0.99</v>
      </c>
      <c r="H90" s="4" t="s">
        <v>60</v>
      </c>
      <c r="I90" s="4" t="s">
        <v>24</v>
      </c>
      <c r="J90" s="4" t="s">
        <v>20</v>
      </c>
      <c r="K90" s="4" t="s">
        <v>35</v>
      </c>
      <c r="L90" s="9" t="s">
        <v>12</v>
      </c>
      <c r="M90" s="4" t="s">
        <v>467</v>
      </c>
      <c r="N90" s="4" t="s">
        <v>468</v>
      </c>
    </row>
    <row r="91" customFormat="false" ht="34.5" hidden="false" customHeight="true" outlineLevel="0" collapsed="false">
      <c r="A91" s="4" t="n">
        <v>47</v>
      </c>
      <c r="B91" s="4" t="s">
        <v>469</v>
      </c>
      <c r="C91" s="4" t="n">
        <v>4</v>
      </c>
      <c r="D91" s="4" t="s">
        <v>470</v>
      </c>
      <c r="E91" s="4" t="s">
        <v>471</v>
      </c>
      <c r="F91" s="4" t="s">
        <v>471</v>
      </c>
      <c r="G91" s="4" t="n">
        <v>0.99</v>
      </c>
      <c r="H91" s="4" t="s">
        <v>60</v>
      </c>
      <c r="I91" s="4" t="s">
        <v>24</v>
      </c>
      <c r="J91" s="4" t="s">
        <v>20</v>
      </c>
      <c r="K91" s="4" t="s">
        <v>35</v>
      </c>
      <c r="L91" s="9" t="s">
        <v>12</v>
      </c>
      <c r="M91" s="4" t="s">
        <v>467</v>
      </c>
      <c r="N91" s="4" t="s">
        <v>468</v>
      </c>
    </row>
    <row r="92" customFormat="false" ht="45.75" hidden="false" customHeight="true" outlineLevel="0" collapsed="false">
      <c r="A92" s="4" t="n">
        <v>73</v>
      </c>
      <c r="B92" s="4" t="s">
        <v>472</v>
      </c>
      <c r="C92" s="4" t="n">
        <v>4</v>
      </c>
      <c r="D92" s="4" t="s">
        <v>473</v>
      </c>
      <c r="E92" s="4" t="s">
        <v>474</v>
      </c>
      <c r="F92" s="4" t="s">
        <v>475</v>
      </c>
      <c r="G92" s="4" t="n">
        <v>0.98</v>
      </c>
      <c r="H92" s="4" t="s">
        <v>60</v>
      </c>
      <c r="I92" s="4" t="s">
        <v>24</v>
      </c>
      <c r="J92" s="4" t="s">
        <v>20</v>
      </c>
      <c r="K92" s="4" t="s">
        <v>35</v>
      </c>
      <c r="L92" s="9" t="s">
        <v>12</v>
      </c>
      <c r="M92" s="4" t="s">
        <v>467</v>
      </c>
      <c r="N92" s="4" t="s">
        <v>468</v>
      </c>
    </row>
    <row r="93" customFormat="false" ht="34.5" hidden="false" customHeight="true" outlineLevel="0" collapsed="false">
      <c r="A93" s="4" t="n">
        <v>121</v>
      </c>
      <c r="B93" s="4" t="s">
        <v>476</v>
      </c>
      <c r="C93" s="4" t="n">
        <v>4</v>
      </c>
      <c r="D93" s="4" t="s">
        <v>473</v>
      </c>
      <c r="E93" s="4" t="s">
        <v>477</v>
      </c>
      <c r="F93" s="4" t="s">
        <v>478</v>
      </c>
      <c r="G93" s="4" t="n">
        <v>0.97</v>
      </c>
      <c r="H93" s="4" t="s">
        <v>479</v>
      </c>
      <c r="I93" s="4" t="s">
        <v>24</v>
      </c>
      <c r="J93" s="4" t="s">
        <v>20</v>
      </c>
      <c r="K93" s="4" t="s">
        <v>35</v>
      </c>
      <c r="L93" s="9" t="s">
        <v>12</v>
      </c>
      <c r="M93" s="4" t="s">
        <v>467</v>
      </c>
      <c r="N93" s="4" t="s">
        <v>468</v>
      </c>
    </row>
    <row r="94" customFormat="false" ht="34.5" hidden="false" customHeight="true" outlineLevel="0" collapsed="false">
      <c r="A94" s="4" t="n">
        <v>6</v>
      </c>
      <c r="B94" s="4" t="s">
        <v>480</v>
      </c>
      <c r="C94" s="4" t="n">
        <v>10</v>
      </c>
      <c r="D94" s="4" t="s">
        <v>95</v>
      </c>
      <c r="E94" s="4" t="s">
        <v>481</v>
      </c>
      <c r="F94" s="4" t="s">
        <v>482</v>
      </c>
      <c r="G94" s="4" t="n">
        <v>1</v>
      </c>
      <c r="H94" s="4" t="s">
        <v>60</v>
      </c>
      <c r="I94" s="4" t="s">
        <v>24</v>
      </c>
      <c r="J94" s="4" t="s">
        <v>20</v>
      </c>
      <c r="K94" s="4" t="s">
        <v>35</v>
      </c>
      <c r="L94" s="9" t="s">
        <v>12</v>
      </c>
      <c r="M94" s="4" t="s">
        <v>483</v>
      </c>
      <c r="N94" s="4" t="s">
        <v>484</v>
      </c>
    </row>
    <row r="95" customFormat="false" ht="34.5" hidden="false" customHeight="true" outlineLevel="0" collapsed="false">
      <c r="A95" s="4" t="n">
        <v>7</v>
      </c>
      <c r="B95" s="4" t="s">
        <v>485</v>
      </c>
      <c r="C95" s="4" t="n">
        <v>10</v>
      </c>
      <c r="D95" s="4" t="s">
        <v>95</v>
      </c>
      <c r="E95" s="4" t="s">
        <v>486</v>
      </c>
      <c r="F95" s="4" t="s">
        <v>487</v>
      </c>
      <c r="G95" s="4" t="n">
        <v>1</v>
      </c>
      <c r="H95" s="4" t="s">
        <v>60</v>
      </c>
      <c r="I95" s="4" t="s">
        <v>24</v>
      </c>
      <c r="J95" s="4" t="s">
        <v>20</v>
      </c>
      <c r="K95" s="4" t="s">
        <v>35</v>
      </c>
      <c r="L95" s="9" t="s">
        <v>12</v>
      </c>
      <c r="M95" s="4" t="s">
        <v>483</v>
      </c>
      <c r="N95" s="4" t="s">
        <v>484</v>
      </c>
    </row>
    <row r="96" customFormat="false" ht="34.5" hidden="false" customHeight="true" outlineLevel="0" collapsed="false">
      <c r="A96" s="4" t="n">
        <v>8</v>
      </c>
      <c r="B96" s="4" t="s">
        <v>488</v>
      </c>
      <c r="C96" s="4" t="n">
        <v>10</v>
      </c>
      <c r="D96" s="4" t="s">
        <v>95</v>
      </c>
      <c r="E96" s="4" t="s">
        <v>489</v>
      </c>
      <c r="F96" s="4" t="s">
        <v>490</v>
      </c>
      <c r="G96" s="4" t="n">
        <v>1</v>
      </c>
      <c r="H96" s="4" t="s">
        <v>60</v>
      </c>
      <c r="I96" s="4" t="s">
        <v>24</v>
      </c>
      <c r="J96" s="4" t="s">
        <v>20</v>
      </c>
      <c r="K96" s="4" t="s">
        <v>35</v>
      </c>
      <c r="L96" s="9" t="s">
        <v>12</v>
      </c>
      <c r="M96" s="4" t="s">
        <v>483</v>
      </c>
      <c r="N96" s="4" t="s">
        <v>484</v>
      </c>
    </row>
    <row r="97" customFormat="false" ht="34.5" hidden="false" customHeight="true" outlineLevel="0" collapsed="false">
      <c r="A97" s="4" t="n">
        <v>9</v>
      </c>
      <c r="B97" s="4" t="s">
        <v>491</v>
      </c>
      <c r="C97" s="4" t="n">
        <v>10</v>
      </c>
      <c r="D97" s="4" t="s">
        <v>95</v>
      </c>
      <c r="E97" s="4" t="s">
        <v>492</v>
      </c>
      <c r="F97" s="4" t="s">
        <v>493</v>
      </c>
      <c r="G97" s="4" t="n">
        <v>1</v>
      </c>
      <c r="H97" s="4" t="s">
        <v>60</v>
      </c>
      <c r="I97" s="4" t="s">
        <v>24</v>
      </c>
      <c r="J97" s="4" t="s">
        <v>20</v>
      </c>
      <c r="K97" s="4" t="s">
        <v>35</v>
      </c>
      <c r="L97" s="9" t="s">
        <v>12</v>
      </c>
      <c r="M97" s="4" t="s">
        <v>483</v>
      </c>
      <c r="N97" s="4" t="s">
        <v>484</v>
      </c>
    </row>
    <row r="98" customFormat="false" ht="34.5" hidden="false" customHeight="true" outlineLevel="0" collapsed="false">
      <c r="A98" s="4" t="n">
        <v>30</v>
      </c>
      <c r="B98" s="4" t="s">
        <v>494</v>
      </c>
      <c r="C98" s="4" t="n">
        <v>10</v>
      </c>
      <c r="D98" s="4" t="s">
        <v>373</v>
      </c>
      <c r="E98" s="4" t="s">
        <v>495</v>
      </c>
      <c r="F98" s="4" t="s">
        <v>496</v>
      </c>
      <c r="G98" s="4" t="n">
        <v>0.99</v>
      </c>
      <c r="H98" s="4" t="s">
        <v>60</v>
      </c>
      <c r="I98" s="4" t="s">
        <v>24</v>
      </c>
      <c r="J98" s="4" t="s">
        <v>20</v>
      </c>
      <c r="K98" s="4" t="s">
        <v>35</v>
      </c>
      <c r="L98" s="9" t="s">
        <v>12</v>
      </c>
      <c r="M98" s="4" t="s">
        <v>497</v>
      </c>
      <c r="N98" s="4" t="s">
        <v>498</v>
      </c>
    </row>
    <row r="99" customFormat="false" ht="45.75" hidden="false" customHeight="true" outlineLevel="0" collapsed="false">
      <c r="A99" s="4" t="n">
        <v>61</v>
      </c>
      <c r="B99" s="4" t="s">
        <v>499</v>
      </c>
      <c r="C99" s="4" t="n">
        <v>10</v>
      </c>
      <c r="D99" s="4" t="s">
        <v>407</v>
      </c>
      <c r="E99" s="4" t="s">
        <v>500</v>
      </c>
      <c r="F99" s="4" t="s">
        <v>501</v>
      </c>
      <c r="G99" s="4" t="n">
        <v>0.98</v>
      </c>
      <c r="H99" s="4" t="s">
        <v>60</v>
      </c>
      <c r="I99" s="4" t="s">
        <v>24</v>
      </c>
      <c r="J99" s="4" t="s">
        <v>20</v>
      </c>
      <c r="K99" s="4" t="s">
        <v>35</v>
      </c>
      <c r="L99" s="9" t="s">
        <v>12</v>
      </c>
      <c r="M99" s="4" t="s">
        <v>502</v>
      </c>
      <c r="N99" s="4" t="s">
        <v>503</v>
      </c>
    </row>
    <row r="100" customFormat="false" ht="34.5" hidden="false" customHeight="true" outlineLevel="0" collapsed="false">
      <c r="A100" s="4" t="n">
        <v>71</v>
      </c>
      <c r="B100" s="4" t="s">
        <v>504</v>
      </c>
      <c r="C100" s="4" t="n">
        <v>10</v>
      </c>
      <c r="D100" s="4" t="s">
        <v>373</v>
      </c>
      <c r="E100" s="4" t="s">
        <v>505</v>
      </c>
      <c r="F100" s="4" t="s">
        <v>506</v>
      </c>
      <c r="G100" s="4" t="n">
        <v>0.98</v>
      </c>
      <c r="H100" s="4" t="s">
        <v>60</v>
      </c>
      <c r="I100" s="4" t="s">
        <v>24</v>
      </c>
      <c r="J100" s="4" t="s">
        <v>20</v>
      </c>
      <c r="K100" s="4" t="s">
        <v>35</v>
      </c>
      <c r="L100" s="9" t="s">
        <v>12</v>
      </c>
      <c r="M100" s="4" t="s">
        <v>507</v>
      </c>
      <c r="N100" s="4" t="s">
        <v>508</v>
      </c>
    </row>
    <row r="101" customFormat="false" ht="45.75" hidden="false" customHeight="true" outlineLevel="0" collapsed="false">
      <c r="A101" s="4" t="n">
        <v>76</v>
      </c>
      <c r="B101" s="4" t="s">
        <v>509</v>
      </c>
      <c r="C101" s="4" t="n">
        <v>10</v>
      </c>
      <c r="D101" s="4" t="s">
        <v>510</v>
      </c>
      <c r="E101" s="4" t="s">
        <v>511</v>
      </c>
      <c r="F101" s="4" t="s">
        <v>511</v>
      </c>
      <c r="G101" s="4" t="n">
        <v>0.98</v>
      </c>
      <c r="H101" s="4" t="s">
        <v>60</v>
      </c>
      <c r="I101" s="4" t="s">
        <v>24</v>
      </c>
      <c r="J101" s="4" t="s">
        <v>20</v>
      </c>
      <c r="K101" s="4" t="s">
        <v>35</v>
      </c>
      <c r="L101" s="9" t="s">
        <v>12</v>
      </c>
      <c r="M101" s="4" t="s">
        <v>507</v>
      </c>
      <c r="N101" s="4" t="s">
        <v>508</v>
      </c>
    </row>
    <row r="102" customFormat="false" ht="34.5" hidden="false" customHeight="true" outlineLevel="0" collapsed="false">
      <c r="A102" s="4" t="n">
        <v>84</v>
      </c>
      <c r="B102" s="4" t="s">
        <v>512</v>
      </c>
      <c r="C102" s="4" t="n">
        <v>10</v>
      </c>
      <c r="D102" s="4" t="s">
        <v>373</v>
      </c>
      <c r="E102" s="4" t="s">
        <v>513</v>
      </c>
      <c r="F102" s="4" t="s">
        <v>514</v>
      </c>
      <c r="G102" s="4" t="n">
        <v>0.97</v>
      </c>
      <c r="H102" s="4" t="s">
        <v>60</v>
      </c>
      <c r="I102" s="4" t="s">
        <v>24</v>
      </c>
      <c r="J102" s="4" t="s">
        <v>20</v>
      </c>
      <c r="K102" s="4" t="s">
        <v>35</v>
      </c>
      <c r="L102" s="9" t="s">
        <v>12</v>
      </c>
      <c r="M102" s="4" t="s">
        <v>507</v>
      </c>
      <c r="N102" s="4" t="s">
        <v>508</v>
      </c>
    </row>
    <row r="103" customFormat="false" ht="23.25" hidden="false" customHeight="true" outlineLevel="0" collapsed="false">
      <c r="A103" s="4" t="n">
        <v>111</v>
      </c>
      <c r="B103" s="4" t="s">
        <v>515</v>
      </c>
      <c r="C103" s="4" t="n">
        <v>10</v>
      </c>
      <c r="D103" s="4" t="s">
        <v>180</v>
      </c>
      <c r="E103" s="4" t="s">
        <v>516</v>
      </c>
      <c r="F103" s="4" t="s">
        <v>516</v>
      </c>
      <c r="G103" s="4" t="n">
        <v>0.97</v>
      </c>
      <c r="H103" s="4" t="s">
        <v>60</v>
      </c>
      <c r="I103" s="4" t="s">
        <v>24</v>
      </c>
      <c r="J103" s="4" t="s">
        <v>20</v>
      </c>
      <c r="K103" s="4" t="s">
        <v>35</v>
      </c>
      <c r="L103" s="9" t="s">
        <v>12</v>
      </c>
      <c r="M103" s="4" t="s">
        <v>502</v>
      </c>
      <c r="N103" s="4" t="s">
        <v>503</v>
      </c>
    </row>
    <row r="104" customFormat="false" ht="34.5" hidden="false" customHeight="true" outlineLevel="0" collapsed="false">
      <c r="A104" s="4" t="n">
        <v>113</v>
      </c>
      <c r="B104" s="4" t="s">
        <v>517</v>
      </c>
      <c r="C104" s="4" t="n">
        <v>10</v>
      </c>
      <c r="D104" s="4" t="s">
        <v>368</v>
      </c>
      <c r="E104" s="4" t="s">
        <v>518</v>
      </c>
      <c r="F104" s="4" t="s">
        <v>518</v>
      </c>
      <c r="G104" s="4" t="n">
        <v>0.97</v>
      </c>
      <c r="H104" s="4" t="s">
        <v>60</v>
      </c>
      <c r="I104" s="4" t="s">
        <v>24</v>
      </c>
      <c r="J104" s="4" t="s">
        <v>20</v>
      </c>
      <c r="K104" s="4" t="s">
        <v>35</v>
      </c>
      <c r="L104" s="9" t="s">
        <v>12</v>
      </c>
      <c r="M104" s="4" t="s">
        <v>507</v>
      </c>
      <c r="N104" s="4" t="s">
        <v>508</v>
      </c>
    </row>
    <row r="105" customFormat="false" ht="34.5" hidden="false" customHeight="true" outlineLevel="0" collapsed="false">
      <c r="A105" s="4" t="n">
        <v>116</v>
      </c>
      <c r="B105" s="4" t="s">
        <v>519</v>
      </c>
      <c r="C105" s="4" t="n">
        <v>10</v>
      </c>
      <c r="D105" s="4" t="s">
        <v>520</v>
      </c>
      <c r="E105" s="4" t="s">
        <v>521</v>
      </c>
      <c r="F105" s="4" t="s">
        <v>522</v>
      </c>
      <c r="G105" s="4" t="n">
        <v>0.97</v>
      </c>
      <c r="H105" s="4" t="s">
        <v>60</v>
      </c>
      <c r="I105" s="4" t="s">
        <v>24</v>
      </c>
      <c r="J105" s="4" t="s">
        <v>20</v>
      </c>
      <c r="K105" s="4" t="s">
        <v>35</v>
      </c>
      <c r="L105" s="9" t="s">
        <v>12</v>
      </c>
      <c r="M105" s="4" t="s">
        <v>502</v>
      </c>
      <c r="N105" s="4" t="s">
        <v>503</v>
      </c>
    </row>
    <row r="106" customFormat="false" ht="23.25" hidden="false" customHeight="true" outlineLevel="0" collapsed="false">
      <c r="A106" s="4" t="n">
        <v>117</v>
      </c>
      <c r="B106" s="4" t="s">
        <v>523</v>
      </c>
      <c r="C106" s="4" t="n">
        <v>10</v>
      </c>
      <c r="D106" s="4" t="s">
        <v>402</v>
      </c>
      <c r="E106" s="4" t="s">
        <v>524</v>
      </c>
      <c r="F106" s="4" t="s">
        <v>524</v>
      </c>
      <c r="G106" s="4" t="n">
        <v>0.97</v>
      </c>
      <c r="H106" s="4" t="s">
        <v>60</v>
      </c>
      <c r="I106" s="4" t="s">
        <v>24</v>
      </c>
      <c r="J106" s="4" t="s">
        <v>20</v>
      </c>
      <c r="K106" s="4" t="s">
        <v>35</v>
      </c>
      <c r="L106" s="9" t="s">
        <v>12</v>
      </c>
      <c r="M106" s="4" t="s">
        <v>507</v>
      </c>
      <c r="N106" s="4" t="s">
        <v>508</v>
      </c>
    </row>
    <row r="107" customFormat="false" ht="57" hidden="false" customHeight="true" outlineLevel="0" collapsed="false">
      <c r="A107" s="4" t="n">
        <v>118</v>
      </c>
      <c r="B107" s="4" t="s">
        <v>525</v>
      </c>
      <c r="C107" s="4" t="n">
        <v>10</v>
      </c>
      <c r="D107" s="4" t="s">
        <v>407</v>
      </c>
      <c r="E107" s="4" t="s">
        <v>526</v>
      </c>
      <c r="F107" s="4" t="s">
        <v>527</v>
      </c>
      <c r="G107" s="4" t="n">
        <v>0.97</v>
      </c>
      <c r="H107" s="4" t="s">
        <v>528</v>
      </c>
      <c r="I107" s="4" t="s">
        <v>24</v>
      </c>
      <c r="J107" s="4" t="s">
        <v>20</v>
      </c>
      <c r="K107" s="4" t="s">
        <v>35</v>
      </c>
      <c r="L107" s="9" t="s">
        <v>12</v>
      </c>
      <c r="M107" s="4" t="s">
        <v>507</v>
      </c>
      <c r="N107" s="4" t="s">
        <v>508</v>
      </c>
    </row>
    <row r="108" customFormat="false" ht="23.25" hidden="false" customHeight="true" outlineLevel="0" collapsed="false">
      <c r="A108" s="4" t="n">
        <v>123</v>
      </c>
      <c r="B108" s="4" t="s">
        <v>529</v>
      </c>
      <c r="C108" s="4" t="n">
        <v>10</v>
      </c>
      <c r="D108" s="4" t="s">
        <v>530</v>
      </c>
      <c r="E108" s="4" t="s">
        <v>531</v>
      </c>
      <c r="F108" s="4" t="s">
        <v>531</v>
      </c>
      <c r="G108" s="4" t="n">
        <v>0.97</v>
      </c>
      <c r="H108" s="4" t="s">
        <v>60</v>
      </c>
      <c r="I108" s="4" t="s">
        <v>24</v>
      </c>
      <c r="J108" s="4" t="s">
        <v>20</v>
      </c>
      <c r="K108" s="4" t="s">
        <v>35</v>
      </c>
      <c r="L108" s="9" t="s">
        <v>12</v>
      </c>
      <c r="M108" s="4" t="s">
        <v>507</v>
      </c>
      <c r="N108" s="4" t="s">
        <v>508</v>
      </c>
    </row>
    <row r="109" customFormat="false" ht="79.5" hidden="false" customHeight="true" outlineLevel="0" collapsed="false">
      <c r="A109" s="4" t="n">
        <v>125</v>
      </c>
      <c r="B109" s="4" t="s">
        <v>532</v>
      </c>
      <c r="C109" s="4" t="n">
        <v>10</v>
      </c>
      <c r="D109" s="4" t="s">
        <v>533</v>
      </c>
      <c r="E109" s="4" t="s">
        <v>534</v>
      </c>
      <c r="F109" s="4" t="s">
        <v>535</v>
      </c>
      <c r="G109" s="4" t="n">
        <v>0.97</v>
      </c>
      <c r="H109" s="4" t="s">
        <v>60</v>
      </c>
      <c r="I109" s="4" t="s">
        <v>24</v>
      </c>
      <c r="J109" s="4" t="s">
        <v>20</v>
      </c>
      <c r="K109" s="4" t="s">
        <v>35</v>
      </c>
      <c r="L109" s="9" t="s">
        <v>12</v>
      </c>
      <c r="M109" s="4" t="s">
        <v>502</v>
      </c>
      <c r="N109" s="4" t="s">
        <v>503</v>
      </c>
    </row>
    <row r="110" customFormat="false" ht="45.75" hidden="false" customHeight="true" outlineLevel="0" collapsed="false">
      <c r="A110" s="4" t="n">
        <v>130</v>
      </c>
      <c r="B110" s="4" t="s">
        <v>536</v>
      </c>
      <c r="C110" s="4" t="n">
        <v>10</v>
      </c>
      <c r="D110" s="4" t="s">
        <v>180</v>
      </c>
      <c r="E110" s="4" t="s">
        <v>537</v>
      </c>
      <c r="F110" s="4" t="s">
        <v>537</v>
      </c>
      <c r="G110" s="4" t="n">
        <v>0.95</v>
      </c>
      <c r="H110" s="4" t="s">
        <v>60</v>
      </c>
      <c r="I110" s="4" t="s">
        <v>24</v>
      </c>
      <c r="J110" s="4" t="s">
        <v>20</v>
      </c>
      <c r="K110" s="4" t="s">
        <v>35</v>
      </c>
      <c r="L110" s="9" t="s">
        <v>12</v>
      </c>
      <c r="M110" s="4" t="s">
        <v>507</v>
      </c>
      <c r="N110" s="4" t="s">
        <v>508</v>
      </c>
    </row>
    <row r="111" customFormat="false" ht="23.25" hidden="false" customHeight="true" outlineLevel="0" collapsed="false">
      <c r="A111" s="4" t="n">
        <v>132</v>
      </c>
      <c r="B111" s="4" t="s">
        <v>538</v>
      </c>
      <c r="C111" s="4" t="n">
        <v>10</v>
      </c>
      <c r="D111" s="4" t="s">
        <v>402</v>
      </c>
      <c r="E111" s="4" t="s">
        <v>539</v>
      </c>
      <c r="F111" s="4" t="s">
        <v>539</v>
      </c>
      <c r="G111" s="4" t="n">
        <v>0.95</v>
      </c>
      <c r="H111" s="4" t="s">
        <v>540</v>
      </c>
      <c r="I111" s="4" t="s">
        <v>24</v>
      </c>
      <c r="J111" s="4" t="s">
        <v>20</v>
      </c>
      <c r="K111" s="4" t="s">
        <v>35</v>
      </c>
      <c r="L111" s="9" t="s">
        <v>12</v>
      </c>
      <c r="M111" s="4" t="s">
        <v>507</v>
      </c>
      <c r="N111" s="4" t="s">
        <v>508</v>
      </c>
    </row>
    <row r="112" customFormat="false" ht="34.5" hidden="false" customHeight="true" outlineLevel="0" collapsed="false">
      <c r="A112" s="4" t="n">
        <v>134</v>
      </c>
      <c r="B112" s="4" t="s">
        <v>541</v>
      </c>
      <c r="C112" s="4" t="n">
        <v>10</v>
      </c>
      <c r="D112" s="4" t="s">
        <v>402</v>
      </c>
      <c r="E112" s="4" t="s">
        <v>542</v>
      </c>
      <c r="F112" s="4" t="s">
        <v>542</v>
      </c>
      <c r="G112" s="4" t="n">
        <v>0.95</v>
      </c>
      <c r="H112" s="4" t="s">
        <v>543</v>
      </c>
      <c r="I112" s="4" t="s">
        <v>24</v>
      </c>
      <c r="J112" s="4" t="s">
        <v>20</v>
      </c>
      <c r="K112" s="4" t="s">
        <v>35</v>
      </c>
      <c r="L112" s="9" t="s">
        <v>12</v>
      </c>
      <c r="M112" s="4" t="s">
        <v>507</v>
      </c>
      <c r="N112" s="4" t="s">
        <v>508</v>
      </c>
    </row>
    <row r="113" customFormat="false" ht="23.25" hidden="false" customHeight="true" outlineLevel="0" collapsed="false">
      <c r="A113" s="4" t="n">
        <v>139</v>
      </c>
      <c r="B113" s="4" t="s">
        <v>544</v>
      </c>
      <c r="C113" s="4" t="n">
        <v>10</v>
      </c>
      <c r="D113" s="4" t="s">
        <v>530</v>
      </c>
      <c r="E113" s="4" t="s">
        <v>545</v>
      </c>
      <c r="F113" s="4" t="s">
        <v>545</v>
      </c>
      <c r="G113" s="4" t="n">
        <v>0.95</v>
      </c>
      <c r="H113" s="4" t="s">
        <v>60</v>
      </c>
      <c r="I113" s="4" t="s">
        <v>24</v>
      </c>
      <c r="J113" s="4" t="s">
        <v>20</v>
      </c>
      <c r="K113" s="4" t="s">
        <v>35</v>
      </c>
      <c r="L113" s="9" t="s">
        <v>12</v>
      </c>
      <c r="M113" s="4" t="s">
        <v>507</v>
      </c>
      <c r="N113" s="4" t="s">
        <v>508</v>
      </c>
    </row>
    <row r="114" customFormat="false" ht="90.75" hidden="false" customHeight="true" outlineLevel="0" collapsed="false">
      <c r="A114" s="4" t="n">
        <v>141</v>
      </c>
      <c r="B114" s="4" t="s">
        <v>546</v>
      </c>
      <c r="C114" s="4" t="n">
        <v>10</v>
      </c>
      <c r="D114" s="4" t="s">
        <v>64</v>
      </c>
      <c r="E114" s="4" t="s">
        <v>547</v>
      </c>
      <c r="F114" s="4" t="s">
        <v>548</v>
      </c>
      <c r="G114" s="4" t="n">
        <v>0.95</v>
      </c>
      <c r="H114" s="4" t="s">
        <v>60</v>
      </c>
      <c r="I114" s="4" t="s">
        <v>24</v>
      </c>
      <c r="J114" s="4" t="s">
        <v>20</v>
      </c>
      <c r="K114" s="4" t="s">
        <v>35</v>
      </c>
      <c r="L114" s="9" t="s">
        <v>12</v>
      </c>
      <c r="M114" s="4" t="s">
        <v>507</v>
      </c>
      <c r="N114" s="4" t="s">
        <v>508</v>
      </c>
    </row>
    <row r="115" customFormat="false" ht="23.25" hidden="false" customHeight="true" outlineLevel="0" collapsed="false">
      <c r="A115" s="4" t="n">
        <v>143</v>
      </c>
      <c r="B115" s="4" t="s">
        <v>549</v>
      </c>
      <c r="C115" s="4" t="n">
        <v>10</v>
      </c>
      <c r="D115" s="4" t="s">
        <v>550</v>
      </c>
      <c r="E115" s="4" t="s">
        <v>551</v>
      </c>
      <c r="F115" s="4" t="s">
        <v>552</v>
      </c>
      <c r="G115" s="4" t="n">
        <v>0.93</v>
      </c>
      <c r="H115" s="4" t="s">
        <v>60</v>
      </c>
      <c r="I115" s="4" t="s">
        <v>24</v>
      </c>
      <c r="J115" s="4" t="s">
        <v>20</v>
      </c>
      <c r="K115" s="4" t="s">
        <v>35</v>
      </c>
      <c r="L115" s="9" t="s">
        <v>12</v>
      </c>
      <c r="M115" s="4" t="s">
        <v>507</v>
      </c>
      <c r="N115" s="4" t="s">
        <v>508</v>
      </c>
    </row>
    <row r="116" customFormat="false" ht="45.75" hidden="false" customHeight="true" outlineLevel="0" collapsed="false">
      <c r="A116" s="4" t="n">
        <v>146</v>
      </c>
      <c r="B116" s="4" t="s">
        <v>553</v>
      </c>
      <c r="C116" s="4" t="n">
        <v>10</v>
      </c>
      <c r="D116" s="4" t="s">
        <v>64</v>
      </c>
      <c r="E116" s="4" t="s">
        <v>554</v>
      </c>
      <c r="F116" s="4" t="s">
        <v>554</v>
      </c>
      <c r="G116" s="4" t="n">
        <v>0.93</v>
      </c>
      <c r="H116" s="4" t="s">
        <v>60</v>
      </c>
      <c r="I116" s="4" t="s">
        <v>24</v>
      </c>
      <c r="J116" s="4" t="s">
        <v>20</v>
      </c>
      <c r="K116" s="4" t="s">
        <v>35</v>
      </c>
      <c r="L116" s="9" t="s">
        <v>12</v>
      </c>
      <c r="M116" s="4" t="s">
        <v>507</v>
      </c>
      <c r="N116" s="4" t="s">
        <v>508</v>
      </c>
    </row>
    <row r="117" customFormat="false" ht="34.5" hidden="false" customHeight="true" outlineLevel="0" collapsed="false">
      <c r="A117" s="4" t="n">
        <v>11</v>
      </c>
      <c r="B117" s="4" t="s">
        <v>555</v>
      </c>
      <c r="C117" s="4" t="n">
        <v>13</v>
      </c>
      <c r="D117" s="4" t="s">
        <v>556</v>
      </c>
      <c r="E117" s="4" t="s">
        <v>557</v>
      </c>
      <c r="F117" s="4" t="s">
        <v>558</v>
      </c>
      <c r="G117" s="4" t="n">
        <v>1</v>
      </c>
      <c r="H117" s="4" t="s">
        <v>60</v>
      </c>
      <c r="I117" s="4" t="s">
        <v>24</v>
      </c>
      <c r="J117" s="4" t="s">
        <v>20</v>
      </c>
      <c r="K117" s="4" t="s">
        <v>35</v>
      </c>
      <c r="L117" s="9" t="s">
        <v>12</v>
      </c>
      <c r="M117" s="4" t="s">
        <v>467</v>
      </c>
      <c r="N117" s="4" t="s">
        <v>559</v>
      </c>
    </row>
    <row r="118" customFormat="false" ht="23.25" hidden="false" customHeight="true" outlineLevel="0" collapsed="false">
      <c r="A118" s="4" t="n">
        <v>19</v>
      </c>
      <c r="B118" s="4" t="s">
        <v>560</v>
      </c>
      <c r="C118" s="4" t="n">
        <v>13</v>
      </c>
      <c r="D118" s="4" t="s">
        <v>556</v>
      </c>
      <c r="E118" s="4" t="s">
        <v>561</v>
      </c>
      <c r="F118" s="4" t="s">
        <v>562</v>
      </c>
      <c r="G118" s="4" t="n">
        <v>1</v>
      </c>
      <c r="H118" s="4" t="s">
        <v>60</v>
      </c>
      <c r="I118" s="4" t="s">
        <v>24</v>
      </c>
      <c r="J118" s="4" t="s">
        <v>20</v>
      </c>
      <c r="K118" s="4" t="s">
        <v>35</v>
      </c>
      <c r="L118" s="9" t="s">
        <v>12</v>
      </c>
      <c r="M118" s="4" t="s">
        <v>467</v>
      </c>
      <c r="N118" s="4" t="s">
        <v>559</v>
      </c>
    </row>
    <row r="119" customFormat="false" ht="34.5" hidden="false" customHeight="true" outlineLevel="0" collapsed="false">
      <c r="A119" s="4" t="n">
        <v>44</v>
      </c>
      <c r="B119" s="4" t="s">
        <v>563</v>
      </c>
      <c r="C119" s="4" t="n">
        <v>13</v>
      </c>
      <c r="D119" s="4" t="s">
        <v>564</v>
      </c>
      <c r="E119" s="4" t="s">
        <v>565</v>
      </c>
      <c r="F119" s="4" t="s">
        <v>566</v>
      </c>
      <c r="G119" s="4" t="n">
        <v>0.99</v>
      </c>
      <c r="H119" s="4" t="s">
        <v>60</v>
      </c>
      <c r="I119" s="4" t="s">
        <v>24</v>
      </c>
      <c r="J119" s="4" t="s">
        <v>20</v>
      </c>
      <c r="K119" s="4" t="s">
        <v>35</v>
      </c>
      <c r="L119" s="9" t="s">
        <v>12</v>
      </c>
      <c r="M119" s="4" t="s">
        <v>467</v>
      </c>
      <c r="N119" s="4" t="s">
        <v>559</v>
      </c>
    </row>
    <row r="120" customFormat="false" ht="34.5" hidden="false" customHeight="true" outlineLevel="0" collapsed="false">
      <c r="A120" s="4" t="n">
        <v>51</v>
      </c>
      <c r="B120" s="4" t="s">
        <v>567</v>
      </c>
      <c r="C120" s="4" t="n">
        <v>14</v>
      </c>
      <c r="D120" s="4" t="s">
        <v>247</v>
      </c>
      <c r="E120" s="4" t="s">
        <v>568</v>
      </c>
      <c r="F120" s="4" t="s">
        <v>569</v>
      </c>
      <c r="G120" s="4" t="n">
        <v>0.99</v>
      </c>
      <c r="H120" s="4" t="s">
        <v>60</v>
      </c>
      <c r="I120" s="4" t="s">
        <v>24</v>
      </c>
      <c r="J120" s="4" t="s">
        <v>20</v>
      </c>
      <c r="K120" s="4" t="s">
        <v>35</v>
      </c>
      <c r="L120" s="9" t="s">
        <v>12</v>
      </c>
      <c r="M120" s="4" t="s">
        <v>467</v>
      </c>
      <c r="N120" s="4" t="s">
        <v>468</v>
      </c>
    </row>
    <row r="121" customFormat="false" ht="34.5" hidden="false" customHeight="true" outlineLevel="0" collapsed="false">
      <c r="A121" s="4" t="n">
        <v>65</v>
      </c>
      <c r="B121" s="4" t="s">
        <v>570</v>
      </c>
      <c r="C121" s="4" t="n">
        <v>14</v>
      </c>
      <c r="D121" s="4" t="s">
        <v>212</v>
      </c>
      <c r="E121" s="4" t="s">
        <v>571</v>
      </c>
      <c r="F121" s="4" t="s">
        <v>572</v>
      </c>
      <c r="G121" s="4" t="n">
        <v>0.98</v>
      </c>
      <c r="H121" s="4" t="s">
        <v>60</v>
      </c>
      <c r="I121" s="4" t="s">
        <v>24</v>
      </c>
      <c r="J121" s="4" t="s">
        <v>20</v>
      </c>
      <c r="K121" s="4" t="s">
        <v>35</v>
      </c>
      <c r="L121" s="9" t="s">
        <v>12</v>
      </c>
      <c r="M121" s="4" t="s">
        <v>467</v>
      </c>
      <c r="N121" s="4" t="s">
        <v>468</v>
      </c>
    </row>
    <row r="122" customFormat="false" ht="34.5" hidden="false" customHeight="true" outlineLevel="0" collapsed="false">
      <c r="A122" s="4" t="n">
        <v>69</v>
      </c>
      <c r="B122" s="4" t="s">
        <v>573</v>
      </c>
      <c r="C122" s="4" t="n">
        <v>14</v>
      </c>
      <c r="D122" s="4" t="s">
        <v>574</v>
      </c>
      <c r="E122" s="4" t="s">
        <v>575</v>
      </c>
      <c r="F122" s="4" t="s">
        <v>575</v>
      </c>
      <c r="G122" s="4" t="n">
        <v>0.98</v>
      </c>
      <c r="H122" s="4" t="s">
        <v>60</v>
      </c>
      <c r="I122" s="4" t="s">
        <v>24</v>
      </c>
      <c r="J122" s="4" t="s">
        <v>20</v>
      </c>
      <c r="K122" s="4" t="s">
        <v>35</v>
      </c>
      <c r="L122" s="9" t="s">
        <v>12</v>
      </c>
      <c r="M122" s="4" t="s">
        <v>467</v>
      </c>
      <c r="N122" s="4" t="s">
        <v>468</v>
      </c>
    </row>
    <row r="123" customFormat="false" ht="34.5" hidden="false" customHeight="true" outlineLevel="0" collapsed="false">
      <c r="A123" s="4" t="n">
        <v>99</v>
      </c>
      <c r="B123" s="4" t="s">
        <v>576</v>
      </c>
      <c r="C123" s="4" t="n">
        <v>14</v>
      </c>
      <c r="D123" s="4" t="s">
        <v>259</v>
      </c>
      <c r="E123" s="4" t="s">
        <v>577</v>
      </c>
      <c r="F123" s="4" t="s">
        <v>577</v>
      </c>
      <c r="G123" s="4" t="n">
        <v>0.97</v>
      </c>
      <c r="H123" s="4" t="s">
        <v>60</v>
      </c>
      <c r="I123" s="4" t="s">
        <v>24</v>
      </c>
      <c r="J123" s="4" t="s">
        <v>20</v>
      </c>
      <c r="K123" s="4" t="s">
        <v>35</v>
      </c>
      <c r="L123" s="9" t="s">
        <v>12</v>
      </c>
      <c r="M123" s="4" t="s">
        <v>467</v>
      </c>
      <c r="N123" s="4" t="s">
        <v>468</v>
      </c>
    </row>
    <row r="124" customFormat="false" ht="45.75" hidden="false" customHeight="true" outlineLevel="0" collapsed="false">
      <c r="A124" s="4" t="n">
        <v>151</v>
      </c>
      <c r="B124" s="4" t="s">
        <v>578</v>
      </c>
      <c r="C124" s="4" t="n">
        <v>14</v>
      </c>
      <c r="D124" s="4" t="s">
        <v>574</v>
      </c>
      <c r="E124" s="4" t="s">
        <v>579</v>
      </c>
      <c r="F124" s="4" t="s">
        <v>580</v>
      </c>
      <c r="G124" s="4" t="n">
        <v>0.91</v>
      </c>
      <c r="H124" s="4" t="s">
        <v>60</v>
      </c>
      <c r="I124" s="4" t="s">
        <v>24</v>
      </c>
      <c r="J124" s="4" t="s">
        <v>20</v>
      </c>
      <c r="K124" s="4" t="s">
        <v>35</v>
      </c>
      <c r="L124" s="9" t="s">
        <v>12</v>
      </c>
      <c r="M124" s="4" t="s">
        <v>467</v>
      </c>
      <c r="N124" s="4" t="s">
        <v>468</v>
      </c>
    </row>
    <row r="125" customFormat="false" ht="23.25" hidden="false" customHeight="true" outlineLevel="0" collapsed="false">
      <c r="A125" s="4" t="n">
        <v>22</v>
      </c>
      <c r="B125" s="4" t="s">
        <v>581</v>
      </c>
      <c r="C125" s="4" t="n">
        <v>19</v>
      </c>
      <c r="D125" s="4" t="s">
        <v>582</v>
      </c>
      <c r="E125" s="4" t="s">
        <v>583</v>
      </c>
      <c r="F125" s="4" t="s">
        <v>583</v>
      </c>
      <c r="G125" s="4" t="n">
        <v>0.99</v>
      </c>
      <c r="H125" s="4" t="s">
        <v>60</v>
      </c>
      <c r="I125" s="4" t="s">
        <v>24</v>
      </c>
      <c r="J125" s="4" t="s">
        <v>20</v>
      </c>
      <c r="K125" s="4" t="s">
        <v>35</v>
      </c>
      <c r="L125" s="9" t="s">
        <v>12</v>
      </c>
      <c r="M125" s="4" t="s">
        <v>497</v>
      </c>
      <c r="N125" s="4" t="s">
        <v>584</v>
      </c>
    </row>
    <row r="126" customFormat="false" ht="45.75" hidden="false" customHeight="true" outlineLevel="0" collapsed="false">
      <c r="A126" s="4" t="n">
        <v>24</v>
      </c>
      <c r="B126" s="4" t="s">
        <v>585</v>
      </c>
      <c r="C126" s="4" t="n">
        <v>19</v>
      </c>
      <c r="D126" s="4" t="s">
        <v>586</v>
      </c>
      <c r="E126" s="4" t="s">
        <v>587</v>
      </c>
      <c r="F126" s="4" t="s">
        <v>588</v>
      </c>
      <c r="G126" s="4" t="n">
        <v>0.99</v>
      </c>
      <c r="H126" s="4" t="s">
        <v>60</v>
      </c>
      <c r="I126" s="4" t="s">
        <v>24</v>
      </c>
      <c r="J126" s="4" t="s">
        <v>20</v>
      </c>
      <c r="K126" s="4" t="s">
        <v>35</v>
      </c>
      <c r="L126" s="9" t="s">
        <v>12</v>
      </c>
      <c r="M126" s="4" t="s">
        <v>467</v>
      </c>
      <c r="N126" s="4" t="s">
        <v>589</v>
      </c>
    </row>
    <row r="127" customFormat="false" ht="57" hidden="false" customHeight="true" outlineLevel="0" collapsed="false">
      <c r="A127" s="4" t="n">
        <v>25</v>
      </c>
      <c r="B127" s="4" t="s">
        <v>590</v>
      </c>
      <c r="C127" s="4" t="n">
        <v>19</v>
      </c>
      <c r="D127" s="4" t="s">
        <v>591</v>
      </c>
      <c r="E127" s="4" t="s">
        <v>592</v>
      </c>
      <c r="F127" s="4" t="s">
        <v>593</v>
      </c>
      <c r="G127" s="4" t="n">
        <v>0.99</v>
      </c>
      <c r="H127" s="4" t="s">
        <v>60</v>
      </c>
      <c r="I127" s="4" t="s">
        <v>24</v>
      </c>
      <c r="J127" s="4" t="s">
        <v>20</v>
      </c>
      <c r="K127" s="4" t="s">
        <v>35</v>
      </c>
      <c r="L127" s="9" t="s">
        <v>12</v>
      </c>
      <c r="M127" s="4" t="s">
        <v>497</v>
      </c>
      <c r="N127" s="4" t="s">
        <v>584</v>
      </c>
    </row>
    <row r="128" customFormat="false" ht="23.25" hidden="false" customHeight="true" outlineLevel="0" collapsed="false">
      <c r="A128" s="4" t="n">
        <v>56</v>
      </c>
      <c r="B128" s="4" t="s">
        <v>594</v>
      </c>
      <c r="C128" s="4" t="n">
        <v>19</v>
      </c>
      <c r="D128" s="4" t="s">
        <v>83</v>
      </c>
      <c r="E128" s="4" t="s">
        <v>595</v>
      </c>
      <c r="F128" s="4" t="s">
        <v>596</v>
      </c>
      <c r="G128" s="4" t="n">
        <v>0.98</v>
      </c>
      <c r="H128" s="4" t="s">
        <v>60</v>
      </c>
      <c r="I128" s="4" t="s">
        <v>24</v>
      </c>
      <c r="J128" s="4" t="s">
        <v>20</v>
      </c>
      <c r="K128" s="4" t="s">
        <v>35</v>
      </c>
      <c r="L128" s="9" t="s">
        <v>12</v>
      </c>
      <c r="M128" s="4" t="s">
        <v>467</v>
      </c>
      <c r="N128" s="4" t="s">
        <v>589</v>
      </c>
    </row>
    <row r="129" customFormat="false" ht="90.75" hidden="false" customHeight="true" outlineLevel="0" collapsed="false">
      <c r="A129" s="4" t="n">
        <v>68</v>
      </c>
      <c r="B129" s="4" t="s">
        <v>597</v>
      </c>
      <c r="C129" s="4" t="n">
        <v>19</v>
      </c>
      <c r="D129" s="4" t="s">
        <v>598</v>
      </c>
      <c r="E129" s="4" t="s">
        <v>599</v>
      </c>
      <c r="F129" s="4" t="s">
        <v>600</v>
      </c>
      <c r="G129" s="4" t="n">
        <v>0.98</v>
      </c>
      <c r="H129" s="4" t="s">
        <v>60</v>
      </c>
      <c r="I129" s="4" t="s">
        <v>24</v>
      </c>
      <c r="J129" s="4" t="s">
        <v>20</v>
      </c>
      <c r="K129" s="4" t="s">
        <v>35</v>
      </c>
      <c r="L129" s="9" t="s">
        <v>12</v>
      </c>
      <c r="M129" s="4" t="s">
        <v>467</v>
      </c>
      <c r="N129" s="4" t="s">
        <v>589</v>
      </c>
    </row>
    <row r="130" customFormat="false" ht="23.25" hidden="false" customHeight="true" outlineLevel="0" collapsed="false">
      <c r="A130" s="4" t="n">
        <v>74</v>
      </c>
      <c r="B130" s="4" t="s">
        <v>601</v>
      </c>
      <c r="C130" s="4" t="n">
        <v>19</v>
      </c>
      <c r="D130" s="4" t="s">
        <v>296</v>
      </c>
      <c r="E130" s="4" t="s">
        <v>602</v>
      </c>
      <c r="F130" s="4" t="s">
        <v>603</v>
      </c>
      <c r="G130" s="4" t="n">
        <v>0.98</v>
      </c>
      <c r="H130" s="4" t="s">
        <v>60</v>
      </c>
      <c r="I130" s="4" t="s">
        <v>24</v>
      </c>
      <c r="J130" s="4" t="s">
        <v>20</v>
      </c>
      <c r="K130" s="4" t="s">
        <v>35</v>
      </c>
      <c r="L130" s="9" t="s">
        <v>12</v>
      </c>
      <c r="M130" s="4" t="s">
        <v>467</v>
      </c>
      <c r="N130" s="4" t="s">
        <v>589</v>
      </c>
    </row>
    <row r="131" customFormat="false" ht="23.25" hidden="false" customHeight="true" outlineLevel="0" collapsed="false">
      <c r="A131" s="4" t="n">
        <v>75</v>
      </c>
      <c r="B131" s="4" t="s">
        <v>604</v>
      </c>
      <c r="C131" s="4" t="n">
        <v>19</v>
      </c>
      <c r="D131" s="4" t="s">
        <v>296</v>
      </c>
      <c r="E131" s="4" t="s">
        <v>605</v>
      </c>
      <c r="F131" s="4" t="s">
        <v>606</v>
      </c>
      <c r="G131" s="4" t="n">
        <v>0.98</v>
      </c>
      <c r="H131" s="4" t="s">
        <v>60</v>
      </c>
      <c r="I131" s="4" t="s">
        <v>24</v>
      </c>
      <c r="J131" s="4" t="s">
        <v>20</v>
      </c>
      <c r="K131" s="4" t="s">
        <v>35</v>
      </c>
      <c r="L131" s="9" t="s">
        <v>12</v>
      </c>
      <c r="M131" s="4" t="s">
        <v>467</v>
      </c>
      <c r="N131" s="4" t="s">
        <v>589</v>
      </c>
    </row>
    <row r="132" customFormat="false" ht="23.25" hidden="false" customHeight="true" outlineLevel="0" collapsed="false">
      <c r="A132" s="4" t="n">
        <v>79</v>
      </c>
      <c r="B132" s="4" t="s">
        <v>607</v>
      </c>
      <c r="C132" s="4" t="n">
        <v>19</v>
      </c>
      <c r="D132" s="4" t="s">
        <v>450</v>
      </c>
      <c r="E132" s="4" t="s">
        <v>608</v>
      </c>
      <c r="F132" s="4" t="s">
        <v>608</v>
      </c>
      <c r="G132" s="4" t="n">
        <v>0.98</v>
      </c>
      <c r="H132" s="4" t="s">
        <v>60</v>
      </c>
      <c r="I132" s="4" t="s">
        <v>24</v>
      </c>
      <c r="J132" s="4" t="s">
        <v>20</v>
      </c>
      <c r="K132" s="4" t="s">
        <v>35</v>
      </c>
      <c r="L132" s="9" t="s">
        <v>12</v>
      </c>
      <c r="M132" s="4" t="s">
        <v>497</v>
      </c>
      <c r="N132" s="4" t="s">
        <v>584</v>
      </c>
    </row>
    <row r="133" customFormat="false" ht="34.5" hidden="false" customHeight="true" outlineLevel="0" collapsed="false">
      <c r="A133" s="4" t="n">
        <v>80</v>
      </c>
      <c r="B133" s="4" t="s">
        <v>609</v>
      </c>
      <c r="C133" s="4" t="n">
        <v>19</v>
      </c>
      <c r="D133" s="4" t="s">
        <v>307</v>
      </c>
      <c r="E133" s="4" t="s">
        <v>610</v>
      </c>
      <c r="F133" s="4" t="s">
        <v>611</v>
      </c>
      <c r="G133" s="4" t="n">
        <v>0.98</v>
      </c>
      <c r="H133" s="4" t="s">
        <v>60</v>
      </c>
      <c r="I133" s="4" t="s">
        <v>24</v>
      </c>
      <c r="J133" s="4" t="s">
        <v>20</v>
      </c>
      <c r="K133" s="4" t="s">
        <v>35</v>
      </c>
      <c r="L133" s="9" t="s">
        <v>12</v>
      </c>
      <c r="M133" s="4" t="s">
        <v>467</v>
      </c>
      <c r="N133" s="4" t="s">
        <v>589</v>
      </c>
    </row>
    <row r="134" customFormat="false" ht="147" hidden="false" customHeight="true" outlineLevel="0" collapsed="false">
      <c r="A134" s="4" t="n">
        <v>81</v>
      </c>
      <c r="B134" s="4" t="s">
        <v>612</v>
      </c>
      <c r="C134" s="4" t="n">
        <v>19</v>
      </c>
      <c r="D134" s="4" t="s">
        <v>613</v>
      </c>
      <c r="E134" s="4" t="s">
        <v>614</v>
      </c>
      <c r="F134" s="4" t="s">
        <v>615</v>
      </c>
      <c r="G134" s="4" t="n">
        <v>0.98</v>
      </c>
      <c r="H134" s="4" t="s">
        <v>60</v>
      </c>
      <c r="I134" s="4" t="s">
        <v>24</v>
      </c>
      <c r="J134" s="4" t="s">
        <v>20</v>
      </c>
      <c r="K134" s="4" t="s">
        <v>35</v>
      </c>
      <c r="L134" s="9" t="s">
        <v>12</v>
      </c>
      <c r="M134" s="4" t="s">
        <v>467</v>
      </c>
      <c r="N134" s="4" t="s">
        <v>589</v>
      </c>
    </row>
    <row r="135" customFormat="false" ht="23.25" hidden="false" customHeight="true" outlineLevel="0" collapsed="false">
      <c r="A135" s="4" t="n">
        <v>83</v>
      </c>
      <c r="B135" s="4" t="s">
        <v>616</v>
      </c>
      <c r="C135" s="4" t="n">
        <v>19</v>
      </c>
      <c r="D135" s="4" t="s">
        <v>617</v>
      </c>
      <c r="E135" s="4" t="s">
        <v>618</v>
      </c>
      <c r="F135" s="4" t="s">
        <v>619</v>
      </c>
      <c r="G135" s="4" t="n">
        <v>0.97</v>
      </c>
      <c r="H135" s="4" t="s">
        <v>60</v>
      </c>
      <c r="I135" s="4" t="s">
        <v>24</v>
      </c>
      <c r="J135" s="4" t="s">
        <v>20</v>
      </c>
      <c r="K135" s="4" t="s">
        <v>35</v>
      </c>
      <c r="L135" s="9" t="s">
        <v>12</v>
      </c>
      <c r="M135" s="4" t="s">
        <v>467</v>
      </c>
      <c r="N135" s="4" t="s">
        <v>589</v>
      </c>
    </row>
    <row r="136" customFormat="false" ht="34.5" hidden="false" customHeight="true" outlineLevel="0" collapsed="false">
      <c r="A136" s="4" t="n">
        <v>87</v>
      </c>
      <c r="B136" s="4" t="s">
        <v>620</v>
      </c>
      <c r="C136" s="4" t="n">
        <v>19</v>
      </c>
      <c r="D136" s="4" t="s">
        <v>296</v>
      </c>
      <c r="E136" s="4" t="s">
        <v>621</v>
      </c>
      <c r="F136" s="4" t="s">
        <v>622</v>
      </c>
      <c r="G136" s="4" t="n">
        <v>0.97</v>
      </c>
      <c r="H136" s="4" t="s">
        <v>60</v>
      </c>
      <c r="I136" s="4" t="s">
        <v>24</v>
      </c>
      <c r="J136" s="4" t="s">
        <v>20</v>
      </c>
      <c r="K136" s="4" t="s">
        <v>35</v>
      </c>
      <c r="L136" s="9" t="s">
        <v>12</v>
      </c>
      <c r="M136" s="4" t="s">
        <v>497</v>
      </c>
      <c r="N136" s="4" t="s">
        <v>584</v>
      </c>
    </row>
    <row r="137" customFormat="false" ht="34.5" hidden="false" customHeight="true" outlineLevel="0" collapsed="false">
      <c r="A137" s="4" t="n">
        <v>92</v>
      </c>
      <c r="B137" s="4" t="s">
        <v>623</v>
      </c>
      <c r="C137" s="4" t="n">
        <v>19</v>
      </c>
      <c r="D137" s="4" t="s">
        <v>312</v>
      </c>
      <c r="E137" s="4" t="s">
        <v>624</v>
      </c>
      <c r="F137" s="4" t="s">
        <v>624</v>
      </c>
      <c r="G137" s="4" t="n">
        <v>0.97</v>
      </c>
      <c r="H137" s="4" t="s">
        <v>60</v>
      </c>
      <c r="I137" s="4" t="s">
        <v>24</v>
      </c>
      <c r="J137" s="4" t="s">
        <v>20</v>
      </c>
      <c r="K137" s="4" t="s">
        <v>35</v>
      </c>
      <c r="L137" s="9" t="s">
        <v>12</v>
      </c>
      <c r="M137" s="4" t="s">
        <v>467</v>
      </c>
      <c r="N137" s="4" t="s">
        <v>589</v>
      </c>
    </row>
    <row r="138" customFormat="false" ht="45.75" hidden="false" customHeight="true" outlineLevel="0" collapsed="false">
      <c r="A138" s="4" t="n">
        <v>95</v>
      </c>
      <c r="B138" s="4" t="s">
        <v>625</v>
      </c>
      <c r="C138" s="4" t="n">
        <v>19</v>
      </c>
      <c r="D138" s="4" t="s">
        <v>626</v>
      </c>
      <c r="E138" s="4" t="s">
        <v>627</v>
      </c>
      <c r="F138" s="4" t="s">
        <v>628</v>
      </c>
      <c r="G138" s="4" t="n">
        <v>0.97</v>
      </c>
      <c r="H138" s="4" t="s">
        <v>629</v>
      </c>
      <c r="I138" s="4" t="s">
        <v>24</v>
      </c>
      <c r="J138" s="4" t="s">
        <v>20</v>
      </c>
      <c r="K138" s="4" t="s">
        <v>35</v>
      </c>
      <c r="L138" s="9" t="s">
        <v>12</v>
      </c>
      <c r="M138" s="4" t="s">
        <v>467</v>
      </c>
      <c r="N138" s="4" t="s">
        <v>589</v>
      </c>
    </row>
    <row r="139" customFormat="false" ht="57" hidden="false" customHeight="true" outlineLevel="0" collapsed="false">
      <c r="A139" s="4" t="n">
        <v>102</v>
      </c>
      <c r="B139" s="4" t="s">
        <v>630</v>
      </c>
      <c r="C139" s="4" t="n">
        <v>19</v>
      </c>
      <c r="D139" s="4" t="s">
        <v>631</v>
      </c>
      <c r="E139" s="4" t="s">
        <v>632</v>
      </c>
      <c r="F139" s="4" t="s">
        <v>633</v>
      </c>
      <c r="G139" s="4" t="n">
        <v>0.97</v>
      </c>
      <c r="H139" s="4" t="s">
        <v>60</v>
      </c>
      <c r="I139" s="4" t="s">
        <v>24</v>
      </c>
      <c r="J139" s="4" t="s">
        <v>20</v>
      </c>
      <c r="K139" s="4" t="s">
        <v>35</v>
      </c>
      <c r="L139" s="9" t="s">
        <v>12</v>
      </c>
      <c r="M139" s="4" t="s">
        <v>467</v>
      </c>
      <c r="N139" s="4" t="s">
        <v>589</v>
      </c>
    </row>
    <row r="140" customFormat="false" ht="23.25" hidden="false" customHeight="true" outlineLevel="0" collapsed="false">
      <c r="A140" s="4" t="n">
        <v>103</v>
      </c>
      <c r="B140" s="4" t="s">
        <v>634</v>
      </c>
      <c r="C140" s="4" t="n">
        <v>19</v>
      </c>
      <c r="D140" s="4" t="s">
        <v>582</v>
      </c>
      <c r="E140" s="4" t="s">
        <v>635</v>
      </c>
      <c r="F140" s="4" t="s">
        <v>635</v>
      </c>
      <c r="G140" s="4" t="n">
        <v>0.97</v>
      </c>
      <c r="H140" s="4" t="s">
        <v>60</v>
      </c>
      <c r="I140" s="4" t="s">
        <v>24</v>
      </c>
      <c r="J140" s="4" t="s">
        <v>20</v>
      </c>
      <c r="K140" s="4" t="s">
        <v>35</v>
      </c>
      <c r="L140" s="9" t="s">
        <v>12</v>
      </c>
      <c r="M140" s="4" t="s">
        <v>467</v>
      </c>
      <c r="N140" s="4" t="s">
        <v>589</v>
      </c>
    </row>
    <row r="141" customFormat="false" ht="45.75" hidden="false" customHeight="true" outlineLevel="0" collapsed="false">
      <c r="A141" s="4" t="n">
        <v>128</v>
      </c>
      <c r="B141" s="4" t="s">
        <v>636</v>
      </c>
      <c r="C141" s="4" t="n">
        <v>19</v>
      </c>
      <c r="D141" s="4" t="s">
        <v>455</v>
      </c>
      <c r="E141" s="4" t="s">
        <v>637</v>
      </c>
      <c r="F141" s="4" t="s">
        <v>638</v>
      </c>
      <c r="G141" s="4" t="n">
        <v>0.96</v>
      </c>
      <c r="H141" s="4" t="s">
        <v>60</v>
      </c>
      <c r="I141" s="4" t="s">
        <v>24</v>
      </c>
      <c r="J141" s="4" t="s">
        <v>20</v>
      </c>
      <c r="K141" s="4" t="s">
        <v>35</v>
      </c>
      <c r="L141" s="9" t="s">
        <v>12</v>
      </c>
      <c r="M141" s="4" t="s">
        <v>467</v>
      </c>
      <c r="N141" s="4" t="s">
        <v>589</v>
      </c>
    </row>
    <row r="142" customFormat="false" ht="23.25" hidden="false" customHeight="true" outlineLevel="0" collapsed="false">
      <c r="A142" s="4" t="n">
        <v>152</v>
      </c>
      <c r="B142" s="4" t="s">
        <v>639</v>
      </c>
      <c r="C142" s="4" t="n">
        <v>19</v>
      </c>
      <c r="D142" s="4" t="s">
        <v>640</v>
      </c>
      <c r="E142" s="4" t="s">
        <v>641</v>
      </c>
      <c r="F142" s="4" t="s">
        <v>642</v>
      </c>
      <c r="G142" s="4" t="n">
        <v>0.9</v>
      </c>
      <c r="H142" s="4" t="s">
        <v>60</v>
      </c>
      <c r="I142" s="4" t="s">
        <v>24</v>
      </c>
      <c r="J142" s="4" t="s">
        <v>20</v>
      </c>
      <c r="K142" s="4" t="s">
        <v>35</v>
      </c>
      <c r="L142" s="9" t="s">
        <v>12</v>
      </c>
      <c r="M142" s="4" t="s">
        <v>467</v>
      </c>
      <c r="N142" s="4" t="s">
        <v>589</v>
      </c>
    </row>
    <row r="143" customFormat="false" ht="23.25" hidden="false" customHeight="true" outlineLevel="0" collapsed="false">
      <c r="A143" s="4" t="n">
        <v>21</v>
      </c>
      <c r="B143" s="4" t="s">
        <v>643</v>
      </c>
      <c r="C143" s="4" t="n">
        <v>10</v>
      </c>
      <c r="D143" s="4" t="s">
        <v>126</v>
      </c>
      <c r="E143" s="4" t="s">
        <v>644</v>
      </c>
      <c r="F143" s="4" t="s">
        <v>645</v>
      </c>
      <c r="G143" s="4" t="n">
        <v>0.99</v>
      </c>
      <c r="H143" s="4" t="s">
        <v>60</v>
      </c>
      <c r="I143" s="4" t="s">
        <v>24</v>
      </c>
      <c r="J143" s="4" t="s">
        <v>20</v>
      </c>
      <c r="K143" s="4" t="s">
        <v>40</v>
      </c>
      <c r="L143" s="10" t="s">
        <v>14</v>
      </c>
      <c r="M143" s="4" t="s">
        <v>646</v>
      </c>
      <c r="N143" s="4" t="s">
        <v>647</v>
      </c>
    </row>
    <row r="144" customFormat="false" ht="23.25" hidden="false" customHeight="true" outlineLevel="0" collapsed="false">
      <c r="A144" s="4" t="n">
        <v>23</v>
      </c>
      <c r="B144" s="4" t="s">
        <v>648</v>
      </c>
      <c r="C144" s="4" t="n">
        <v>10</v>
      </c>
      <c r="D144" s="4" t="s">
        <v>126</v>
      </c>
      <c r="E144" s="4" t="s">
        <v>649</v>
      </c>
      <c r="F144" s="4" t="s">
        <v>645</v>
      </c>
      <c r="G144" s="4" t="n">
        <v>0.99</v>
      </c>
      <c r="H144" s="4" t="s">
        <v>60</v>
      </c>
      <c r="I144" s="4" t="s">
        <v>24</v>
      </c>
      <c r="J144" s="4" t="s">
        <v>20</v>
      </c>
      <c r="K144" s="4" t="s">
        <v>40</v>
      </c>
      <c r="L144" s="10" t="s">
        <v>14</v>
      </c>
      <c r="M144" s="4" t="s">
        <v>646</v>
      </c>
      <c r="N144" s="4" t="s">
        <v>647</v>
      </c>
    </row>
    <row r="145" customFormat="false" ht="23.25" hidden="false" customHeight="true" outlineLevel="0" collapsed="false">
      <c r="A145" s="4" t="n">
        <v>27</v>
      </c>
      <c r="B145" s="4" t="s">
        <v>650</v>
      </c>
      <c r="C145" s="4" t="n">
        <v>10</v>
      </c>
      <c r="D145" s="4" t="s">
        <v>126</v>
      </c>
      <c r="E145" s="4" t="s">
        <v>651</v>
      </c>
      <c r="F145" s="4" t="s">
        <v>645</v>
      </c>
      <c r="G145" s="4" t="n">
        <v>0.99</v>
      </c>
      <c r="H145" s="4" t="s">
        <v>60</v>
      </c>
      <c r="I145" s="4" t="s">
        <v>24</v>
      </c>
      <c r="J145" s="4" t="s">
        <v>20</v>
      </c>
      <c r="K145" s="4" t="s">
        <v>40</v>
      </c>
      <c r="L145" s="10" t="s">
        <v>14</v>
      </c>
      <c r="M145" s="4" t="s">
        <v>646</v>
      </c>
      <c r="N145" s="4" t="s">
        <v>647</v>
      </c>
    </row>
    <row r="146" customFormat="false" ht="45.75" hidden="false" customHeight="true" outlineLevel="0" collapsed="false">
      <c r="A146" s="4" t="n">
        <v>119</v>
      </c>
      <c r="B146" s="4" t="s">
        <v>652</v>
      </c>
      <c r="C146" s="4" t="n">
        <v>10</v>
      </c>
      <c r="D146" s="4" t="s">
        <v>126</v>
      </c>
      <c r="E146" s="4" t="s">
        <v>653</v>
      </c>
      <c r="F146" s="4" t="s">
        <v>654</v>
      </c>
      <c r="G146" s="4" t="n">
        <v>0.97</v>
      </c>
      <c r="H146" s="4" t="s">
        <v>60</v>
      </c>
      <c r="I146" s="4" t="s">
        <v>24</v>
      </c>
      <c r="J146" s="4" t="s">
        <v>20</v>
      </c>
      <c r="K146" s="4" t="s">
        <v>40</v>
      </c>
      <c r="L146" s="10" t="s">
        <v>14</v>
      </c>
      <c r="M146" s="4" t="s">
        <v>646</v>
      </c>
      <c r="N146" s="4" t="s">
        <v>655</v>
      </c>
    </row>
    <row r="147" customFormat="false" ht="57" hidden="false" customHeight="true" outlineLevel="0" collapsed="false">
      <c r="A147" s="4" t="n">
        <v>129</v>
      </c>
      <c r="B147" s="4" t="s">
        <v>656</v>
      </c>
      <c r="C147" s="4" t="n">
        <v>10</v>
      </c>
      <c r="D147" s="4" t="s">
        <v>126</v>
      </c>
      <c r="E147" s="4" t="s">
        <v>657</v>
      </c>
      <c r="F147" s="4" t="s">
        <v>658</v>
      </c>
      <c r="G147" s="4" t="n">
        <v>0.96</v>
      </c>
      <c r="H147" s="4" t="s">
        <v>60</v>
      </c>
      <c r="I147" s="4" t="s">
        <v>24</v>
      </c>
      <c r="J147" s="4" t="s">
        <v>20</v>
      </c>
      <c r="K147" s="4" t="s">
        <v>40</v>
      </c>
      <c r="L147" s="10" t="s">
        <v>14</v>
      </c>
      <c r="M147" s="4" t="s">
        <v>646</v>
      </c>
      <c r="N147" s="4" t="s">
        <v>659</v>
      </c>
    </row>
    <row r="148" customFormat="false" ht="23.25" hidden="false" customHeight="true" outlineLevel="0" collapsed="false">
      <c r="A148" s="4" t="n">
        <v>60</v>
      </c>
      <c r="B148" s="4" t="s">
        <v>660</v>
      </c>
      <c r="C148" s="4" t="n">
        <v>19</v>
      </c>
      <c r="D148" s="4" t="s">
        <v>661</v>
      </c>
      <c r="E148" s="4" t="s">
        <v>662</v>
      </c>
      <c r="F148" s="4" t="s">
        <v>663</v>
      </c>
      <c r="G148" s="4" t="n">
        <v>0.98</v>
      </c>
      <c r="H148" s="4" t="s">
        <v>60</v>
      </c>
      <c r="I148" s="4" t="s">
        <v>25</v>
      </c>
      <c r="J148" s="4" t="s">
        <v>20</v>
      </c>
      <c r="K148" s="4" t="s">
        <v>40</v>
      </c>
      <c r="L148" s="10" t="s">
        <v>14</v>
      </c>
      <c r="M148" s="4" t="s">
        <v>646</v>
      </c>
      <c r="N148" s="4" t="s">
        <v>664</v>
      </c>
    </row>
    <row r="149" customFormat="false" ht="23.25" hidden="false" customHeight="true" outlineLevel="0" collapsed="false">
      <c r="A149" s="4" t="n">
        <v>64</v>
      </c>
      <c r="B149" s="4" t="s">
        <v>665</v>
      </c>
      <c r="C149" s="4" t="n">
        <v>19</v>
      </c>
      <c r="D149" s="4" t="s">
        <v>661</v>
      </c>
      <c r="E149" s="4" t="s">
        <v>666</v>
      </c>
      <c r="F149" s="4" t="s">
        <v>663</v>
      </c>
      <c r="G149" s="4" t="n">
        <v>0.98</v>
      </c>
      <c r="H149" s="4" t="s">
        <v>60</v>
      </c>
      <c r="I149" s="4" t="s">
        <v>25</v>
      </c>
      <c r="J149" s="4" t="s">
        <v>20</v>
      </c>
      <c r="K149" s="4" t="s">
        <v>40</v>
      </c>
      <c r="L149" s="10" t="s">
        <v>14</v>
      </c>
      <c r="M149" s="4" t="s">
        <v>646</v>
      </c>
      <c r="N149" s="4" t="s">
        <v>664</v>
      </c>
    </row>
    <row r="150" customFormat="false" ht="23.25" hidden="false" customHeight="true" outlineLevel="0" collapsed="false">
      <c r="A150" s="4" t="n">
        <v>66</v>
      </c>
      <c r="B150" s="4" t="s">
        <v>667</v>
      </c>
      <c r="C150" s="4" t="n">
        <v>19</v>
      </c>
      <c r="D150" s="4" t="s">
        <v>661</v>
      </c>
      <c r="E150" s="4" t="s">
        <v>668</v>
      </c>
      <c r="F150" s="4" t="s">
        <v>663</v>
      </c>
      <c r="G150" s="4" t="n">
        <v>0.98</v>
      </c>
      <c r="H150" s="4" t="s">
        <v>60</v>
      </c>
      <c r="I150" s="4" t="s">
        <v>25</v>
      </c>
      <c r="J150" s="4" t="s">
        <v>20</v>
      </c>
      <c r="K150" s="4" t="s">
        <v>40</v>
      </c>
      <c r="L150" s="10" t="s">
        <v>14</v>
      </c>
      <c r="M150" s="4" t="s">
        <v>646</v>
      </c>
      <c r="N150" s="4" t="s">
        <v>664</v>
      </c>
    </row>
    <row r="151" customFormat="false" ht="45.75" hidden="false" customHeight="true" outlineLevel="0" collapsed="false">
      <c r="A151" s="4" t="n">
        <v>155</v>
      </c>
      <c r="B151" s="4" t="s">
        <v>669</v>
      </c>
      <c r="C151" s="4" t="n">
        <v>10</v>
      </c>
      <c r="D151" s="4" t="s">
        <v>57</v>
      </c>
      <c r="E151" s="4" t="s">
        <v>670</v>
      </c>
      <c r="F151" s="4" t="s">
        <v>59</v>
      </c>
      <c r="G151" s="4" t="n">
        <v>0.75</v>
      </c>
      <c r="H151" s="4" t="s">
        <v>60</v>
      </c>
      <c r="I151" s="4" t="s">
        <v>26</v>
      </c>
      <c r="J151" s="4" t="s">
        <v>20</v>
      </c>
      <c r="K151" s="4" t="s">
        <v>42</v>
      </c>
      <c r="L151" s="11" t="s">
        <v>16</v>
      </c>
      <c r="M151" s="4" t="s">
        <v>671</v>
      </c>
      <c r="N151" s="4" t="s">
        <v>672</v>
      </c>
    </row>
    <row r="152" customFormat="false" ht="147" hidden="false" customHeight="true" outlineLevel="0" collapsed="false">
      <c r="A152" s="4" t="n">
        <v>156</v>
      </c>
      <c r="B152" s="4" t="s">
        <v>673</v>
      </c>
      <c r="C152" s="4" t="n">
        <v>10</v>
      </c>
      <c r="D152" s="4" t="s">
        <v>64</v>
      </c>
      <c r="E152" s="4" t="s">
        <v>674</v>
      </c>
      <c r="F152" s="4" t="s">
        <v>674</v>
      </c>
      <c r="G152" s="4" t="n">
        <v>0.75</v>
      </c>
      <c r="H152" s="4" t="s">
        <v>60</v>
      </c>
      <c r="I152" s="4" t="s">
        <v>26</v>
      </c>
      <c r="J152" s="4" t="s">
        <v>20</v>
      </c>
      <c r="K152" s="4" t="s">
        <v>42</v>
      </c>
      <c r="L152" s="11" t="s">
        <v>16</v>
      </c>
      <c r="M152" s="4" t="s">
        <v>671</v>
      </c>
      <c r="N152" s="4" t="s">
        <v>675</v>
      </c>
    </row>
    <row r="153" customFormat="false" ht="34.5" hidden="false" customHeight="true" outlineLevel="0" collapsed="false">
      <c r="A153" s="4" t="n">
        <v>14</v>
      </c>
      <c r="B153" s="4" t="s">
        <v>676</v>
      </c>
      <c r="C153" s="4" t="n">
        <v>13</v>
      </c>
      <c r="D153" s="4" t="s">
        <v>191</v>
      </c>
      <c r="E153" s="4" t="s">
        <v>677</v>
      </c>
      <c r="F153" s="4" t="s">
        <v>678</v>
      </c>
      <c r="G153" s="4" t="n">
        <v>1</v>
      </c>
      <c r="H153" s="4" t="s">
        <v>679</v>
      </c>
      <c r="I153" s="4" t="s">
        <v>24</v>
      </c>
      <c r="J153" s="4" t="s">
        <v>22</v>
      </c>
      <c r="K153" s="4" t="s">
        <v>39</v>
      </c>
      <c r="L153" s="11" t="s">
        <v>16</v>
      </c>
      <c r="M153" s="4" t="s">
        <v>680</v>
      </c>
      <c r="N153" s="4" t="s">
        <v>681</v>
      </c>
    </row>
    <row r="154" customFormat="false" ht="23.25" hidden="false" customHeight="true" outlineLevel="0" collapsed="false">
      <c r="A154" s="4" t="n">
        <v>62</v>
      </c>
      <c r="B154" s="4" t="s">
        <v>682</v>
      </c>
      <c r="C154" s="4" t="n">
        <v>14</v>
      </c>
      <c r="D154" s="4" t="s">
        <v>216</v>
      </c>
      <c r="E154" s="4" t="s">
        <v>683</v>
      </c>
      <c r="F154" s="4" t="s">
        <v>684</v>
      </c>
      <c r="G154" s="4" t="n">
        <v>0.98</v>
      </c>
      <c r="H154" s="4" t="s">
        <v>60</v>
      </c>
      <c r="I154" s="4" t="s">
        <v>24</v>
      </c>
      <c r="J154" s="4" t="s">
        <v>20</v>
      </c>
      <c r="K154" s="4" t="s">
        <v>43</v>
      </c>
      <c r="L154" s="11" t="s">
        <v>16</v>
      </c>
      <c r="M154" s="4" t="s">
        <v>685</v>
      </c>
      <c r="N154" s="4" t="s">
        <v>686</v>
      </c>
    </row>
    <row r="155" customFormat="false" ht="34.5" hidden="false" customHeight="true" outlineLevel="0" collapsed="false">
      <c r="A155" s="4" t="n">
        <v>37</v>
      </c>
      <c r="B155" s="4" t="s">
        <v>687</v>
      </c>
      <c r="C155" s="4" t="n">
        <v>19</v>
      </c>
      <c r="D155" s="4" t="s">
        <v>296</v>
      </c>
      <c r="E155" s="4" t="s">
        <v>297</v>
      </c>
      <c r="F155" s="4" t="s">
        <v>298</v>
      </c>
      <c r="G155" s="4" t="n">
        <v>0.99</v>
      </c>
      <c r="H155" s="4" t="s">
        <v>60</v>
      </c>
      <c r="I155" s="4" t="s">
        <v>24</v>
      </c>
      <c r="J155" s="4" t="s">
        <v>20</v>
      </c>
      <c r="K155" s="4" t="s">
        <v>41</v>
      </c>
      <c r="L155" s="11" t="s">
        <v>16</v>
      </c>
      <c r="M155" s="4" t="s">
        <v>688</v>
      </c>
      <c r="N155" s="4" t="s">
        <v>689</v>
      </c>
    </row>
    <row r="156" customFormat="false" ht="57" hidden="false" customHeight="true" outlineLevel="0" collapsed="false">
      <c r="A156" s="4" t="n">
        <v>40</v>
      </c>
      <c r="B156" s="4" t="s">
        <v>690</v>
      </c>
      <c r="C156" s="4" t="n">
        <v>19</v>
      </c>
      <c r="D156" s="4" t="s">
        <v>691</v>
      </c>
      <c r="E156" s="4" t="s">
        <v>692</v>
      </c>
      <c r="F156" s="4" t="s">
        <v>693</v>
      </c>
      <c r="G156" s="4" t="n">
        <v>0.99</v>
      </c>
      <c r="H156" s="4" t="s">
        <v>60</v>
      </c>
      <c r="I156" s="4" t="s">
        <v>24</v>
      </c>
      <c r="J156" s="4" t="s">
        <v>22</v>
      </c>
      <c r="K156" s="4" t="s">
        <v>39</v>
      </c>
      <c r="L156" s="11" t="s">
        <v>16</v>
      </c>
      <c r="M156" s="4" t="s">
        <v>365</v>
      </c>
      <c r="N156" s="4" t="s">
        <v>694</v>
      </c>
    </row>
    <row r="157" customFormat="false" ht="34.5" hidden="false" customHeight="true" outlineLevel="0" collapsed="false">
      <c r="A157" s="4" t="n">
        <v>52</v>
      </c>
      <c r="B157" s="4" t="s">
        <v>695</v>
      </c>
      <c r="C157" s="4" t="n">
        <v>19</v>
      </c>
      <c r="D157" s="4" t="s">
        <v>296</v>
      </c>
      <c r="E157" s="4" t="s">
        <v>301</v>
      </c>
      <c r="F157" s="4" t="s">
        <v>298</v>
      </c>
      <c r="G157" s="4" t="n">
        <v>0.99</v>
      </c>
      <c r="H157" s="4" t="s">
        <v>60</v>
      </c>
      <c r="I157" s="4" t="s">
        <v>24</v>
      </c>
      <c r="J157" s="4" t="s">
        <v>20</v>
      </c>
      <c r="K157" s="4" t="s">
        <v>41</v>
      </c>
      <c r="L157" s="11" t="s">
        <v>16</v>
      </c>
      <c r="M157" s="4" t="s">
        <v>688</v>
      </c>
      <c r="N157" s="4" t="s">
        <v>689</v>
      </c>
    </row>
    <row r="158" customFormat="false" ht="45.75" hidden="false" customHeight="true" outlineLevel="0" collapsed="false">
      <c r="A158" s="4" t="n">
        <v>144</v>
      </c>
      <c r="B158" s="4" t="s">
        <v>696</v>
      </c>
      <c r="C158" s="4" t="n">
        <v>19</v>
      </c>
      <c r="D158" s="4" t="s">
        <v>697</v>
      </c>
      <c r="E158" s="4" t="s">
        <v>698</v>
      </c>
      <c r="F158" s="4" t="s">
        <v>699</v>
      </c>
      <c r="G158" s="4" t="n">
        <v>0.93</v>
      </c>
      <c r="H158" s="4" t="s">
        <v>60</v>
      </c>
      <c r="I158" s="4" t="s">
        <v>24</v>
      </c>
      <c r="J158" s="4" t="s">
        <v>22</v>
      </c>
      <c r="K158" s="4" t="s">
        <v>38</v>
      </c>
      <c r="L158" s="11" t="s">
        <v>16</v>
      </c>
      <c r="M158" s="4" t="s">
        <v>349</v>
      </c>
      <c r="N158" s="4" t="s">
        <v>700</v>
      </c>
    </row>
  </sheetData>
  <autoFilter ref="A1:N1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2026-09-22T13:53:24Z</dcterms:created>
  <dc:creator>openpyxl</dc:creator>
  <dc:description/>
  <dc:language>en-US</dc:language>
  <cp:lastModifiedBy/>
  <dcterms:modified xsi:type="dcterms:W3CDTF">2026-09-22T14:01:59Z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